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7.xml"/>
  <Override ContentType="application/vnd.openxmlformats-officedocument.drawingml.chart+xml" PartName="/xl/charts/chart27.xml"/>
  <Override ContentType="application/vnd.openxmlformats-officedocument.drawingml.chart+xml" PartName="/xl/charts/chart14.xml"/>
  <Override ContentType="application/vnd.openxmlformats-officedocument.drawingml.chart+xml" PartName="/xl/charts/chart30.xml"/>
  <Override ContentType="application/vnd.openxmlformats-officedocument.drawingml.chart+xml" PartName="/xl/charts/chart18.xml"/>
  <Override ContentType="application/vnd.openxmlformats-officedocument.drawingml.chart+xml" PartName="/xl/charts/chart13.xml"/>
  <Override ContentType="application/vnd.openxmlformats-officedocument.drawingml.chart+xml" PartName="/xl/charts/chart31.xml"/>
  <Override ContentType="application/vnd.openxmlformats-officedocument.drawingml.chart+xml" PartName="/xl/charts/chart26.xml"/>
  <Override ContentType="application/vnd.openxmlformats-officedocument.drawingml.chart+xml" PartName="/xl/charts/chart35.xml"/>
  <Override ContentType="application/vnd.openxmlformats-officedocument.drawingml.chart+xml" PartName="/xl/charts/chart2.xml"/>
  <Override ContentType="application/vnd.openxmlformats-officedocument.drawingml.chart+xml" PartName="/xl/charts/chart22.xml"/>
  <Override ContentType="application/vnd.openxmlformats-officedocument.drawingml.chart+xml" PartName="/xl/charts/chart34.xml"/>
  <Override ContentType="application/vnd.openxmlformats-officedocument.drawingml.chart+xml" PartName="/xl/charts/chart8.xml"/>
  <Override ContentType="application/vnd.openxmlformats-officedocument.drawingml.chart+xml" PartName="/xl/charts/chart17.xml"/>
  <Override ContentType="application/vnd.openxmlformats-officedocument.drawingml.chart+xml" PartName="/xl/charts/chart25.xml"/>
  <Override ContentType="application/vnd.openxmlformats-officedocument.drawingml.chart+xml" PartName="/xl/charts/chart12.xml"/>
  <Override ContentType="application/vnd.openxmlformats-officedocument.drawingml.chart+xml" PartName="/xl/charts/chart21.xml"/>
  <Override ContentType="application/vnd.openxmlformats-officedocument.drawingml.chart+xml" PartName="/xl/charts/chart3.xml"/>
  <Override ContentType="application/vnd.openxmlformats-officedocument.drawingml.chart+xml" PartName="/xl/charts/chart16.xml"/>
  <Override ContentType="application/vnd.openxmlformats-officedocument.drawingml.chart+xml" PartName="/xl/charts/chart11.xml"/>
  <Override ContentType="application/vnd.openxmlformats-officedocument.drawingml.chart+xml" PartName="/xl/charts/chart29.xml"/>
  <Override ContentType="application/vnd.openxmlformats-officedocument.drawingml.chart+xml" PartName="/xl/charts/chart37.xml"/>
  <Override ContentType="application/vnd.openxmlformats-officedocument.drawingml.chart+xml" PartName="/xl/charts/chart4.xml"/>
  <Override ContentType="application/vnd.openxmlformats-officedocument.drawingml.chart+xml" PartName="/xl/charts/chart20.xml"/>
  <Override ContentType="application/vnd.openxmlformats-officedocument.drawingml.chart+xml" PartName="/xl/charts/chart33.xml"/>
  <Override ContentType="application/vnd.openxmlformats-officedocument.drawingml.chart+xml" PartName="/xl/charts/chart24.xml"/>
  <Override ContentType="application/vnd.openxmlformats-officedocument.drawingml.chart+xml" PartName="/xl/charts/chart1.xml"/>
  <Override ContentType="application/vnd.openxmlformats-officedocument.drawingml.chart+xml" PartName="/xl/charts/chart28.xml"/>
  <Override ContentType="application/vnd.openxmlformats-officedocument.drawingml.chart+xml" PartName="/xl/charts/chart10.xml"/>
  <Override ContentType="application/vnd.openxmlformats-officedocument.drawingml.chart+xml" PartName="/xl/charts/chart6.xml"/>
  <Override ContentType="application/vnd.openxmlformats-officedocument.drawingml.chart+xml" PartName="/xl/charts/chart15.xml"/>
  <Override ContentType="application/vnd.openxmlformats-officedocument.drawingml.chart+xml" PartName="/xl/charts/chart9.xml"/>
  <Override ContentType="application/vnd.openxmlformats-officedocument.drawingml.chart+xml" PartName="/xl/charts/chart19.xml"/>
  <Override ContentType="application/vnd.openxmlformats-officedocument.drawingml.chart+xml" PartName="/xl/charts/chart32.xml"/>
  <Override ContentType="application/vnd.openxmlformats-officedocument.drawingml.chart+xml" PartName="/xl/charts/chart5.xml"/>
  <Override ContentType="application/vnd.openxmlformats-officedocument.drawingml.chart+xml" PartName="/xl/charts/chart23.xml"/>
  <Override ContentType="application/vnd.openxmlformats-officedocument.drawingml.chart+xml" PartName="/xl/charts/chart36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tegorias" sheetId="1" r:id="rId4"/>
    <sheet state="visible" name="Resumo Mensal" sheetId="2" r:id="rId5"/>
    <sheet state="visible" name="Janeiro" sheetId="3" r:id="rId6"/>
    <sheet state="visible" name="Fevereiro" sheetId="4" r:id="rId7"/>
    <sheet state="visible" name="Março" sheetId="5" r:id="rId8"/>
    <sheet state="visible" name="Abril" sheetId="6" r:id="rId9"/>
    <sheet state="visible" name="Maio" sheetId="7" r:id="rId10"/>
    <sheet state="visible" name="Junho" sheetId="8" r:id="rId11"/>
    <sheet state="visible" name="Julho" sheetId="9" r:id="rId12"/>
    <sheet state="visible" name="Agosto" sheetId="10" r:id="rId13"/>
    <sheet state="visible" name="Setembro" sheetId="11" r:id="rId14"/>
    <sheet state="visible" name="Outubro" sheetId="12" r:id="rId15"/>
    <sheet state="visible" name="Novembro" sheetId="13" r:id="rId16"/>
    <sheet state="visible" name="Dezembro" sheetId="14" r:id="rId17"/>
  </sheets>
  <definedNames/>
  <calcPr/>
  <extLst>
    <ext uri="GoogleSheetsCustomDataVersion2">
      <go:sheetsCustomData xmlns:go="http://customooxmlschemas.google.com/" r:id="rId18" roundtripDataChecksum="BYwFsKCLoy+czsebcTnpdajRxzqX17PGNkby59ZA7g0="/>
    </ext>
  </extLst>
</workbook>
</file>

<file path=xl/sharedStrings.xml><?xml version="1.0" encoding="utf-8"?>
<sst xmlns="http://schemas.openxmlformats.org/spreadsheetml/2006/main" count="395" uniqueCount="100">
  <si>
    <t>Receitas</t>
  </si>
  <si>
    <t>Gastos essenciais</t>
  </si>
  <si>
    <t>Gastos não essenciais</t>
  </si>
  <si>
    <t>💰 Salário</t>
  </si>
  <si>
    <t>🏠 Moradia</t>
  </si>
  <si>
    <t>🍔 Restaurante</t>
  </si>
  <si>
    <t>💰 Freelance</t>
  </si>
  <si>
    <t>🧾 Contas da casa</t>
  </si>
  <si>
    <t>🍕 Lanches</t>
  </si>
  <si>
    <t>💰 Mesada</t>
  </si>
  <si>
    <t>💡 Energia</t>
  </si>
  <si>
    <t>☕ Café / Doces</t>
  </si>
  <si>
    <t>💰 Reembolso</t>
  </si>
  <si>
    <t>💧 Água</t>
  </si>
  <si>
    <t>🍻 Saídas</t>
  </si>
  <si>
    <t>💰 Venda</t>
  </si>
  <si>
    <t>🌐 Internet</t>
  </si>
  <si>
    <t>💪 Academia / Esporte</t>
  </si>
  <si>
    <t>💰 Presente</t>
  </si>
  <si>
    <t>📱 Celular</t>
  </si>
  <si>
    <t>👕 Roupas / Calçados</t>
  </si>
  <si>
    <t>💰 Outras receitas</t>
  </si>
  <si>
    <t>🛒 Mercado</t>
  </si>
  <si>
    <t>💈 Barbeiro / Beleza</t>
  </si>
  <si>
    <t>💰 Bônus</t>
  </si>
  <si>
    <t>🥖 Padaria</t>
  </si>
  <si>
    <t>🧴 Cuidados pessoais</t>
  </si>
  <si>
    <t>💰 Décimo terceiro</t>
  </si>
  <si>
    <t>🧼 Limpeza</t>
  </si>
  <si>
    <t>🎮 Lazer</t>
  </si>
  <si>
    <t>💰 Cashback</t>
  </si>
  <si>
    <t>🚗 Transporte</t>
  </si>
  <si>
    <t>🎬 Cinema / Show</t>
  </si>
  <si>
    <t>💰 Prêmio</t>
  </si>
  <si>
    <t>🚌 Passagem</t>
  </si>
  <si>
    <t>🎁 Presentes</t>
  </si>
  <si>
    <t>⛽ Combustível</t>
  </si>
  <si>
    <t>🌹 Datas especiais</t>
  </si>
  <si>
    <t>🅿️ Estacionamento / Pedágio</t>
  </si>
  <si>
    <t>💻 Tecnologia</t>
  </si>
  <si>
    <t>🔧 Manutenção do carro</t>
  </si>
  <si>
    <t>📱 Assinaturas</t>
  </si>
  <si>
    <t>🏥 Saúde</t>
  </si>
  <si>
    <t>🛍️ Compras</t>
  </si>
  <si>
    <t>💊 Farmácia</t>
  </si>
  <si>
    <t>🏠 Casa / Decoração</t>
  </si>
  <si>
    <t>🦷 Dentista</t>
  </si>
  <si>
    <t>✈️ Viagem</t>
  </si>
  <si>
    <t>🧪 Exames / Consultas</t>
  </si>
  <si>
    <t>🎯 Cursos / Eventos</t>
  </si>
  <si>
    <t>🎓 Educação</t>
  </si>
  <si>
    <t>🎲 Jogos</t>
  </si>
  <si>
    <t>📚 Livros / Materiais</t>
  </si>
  <si>
    <t>📦 Outros não essenciais</t>
  </si>
  <si>
    <t>💳 Cartão / Financeiro</t>
  </si>
  <si>
    <t>🏦 Empréstimo / Financiamento</t>
  </si>
  <si>
    <t>🧾 Impostos / Taxas</t>
  </si>
  <si>
    <t>⚠️ Emergência</t>
  </si>
  <si>
    <t>🐶 Pets essenciais</t>
  </si>
  <si>
    <t>📦 Outros essenciais</t>
  </si>
  <si>
    <t>🏥 Plano de saúde</t>
  </si>
  <si>
    <t>🛡️ Seguro</t>
  </si>
  <si>
    <t>🍽️ Alimentação básica</t>
  </si>
  <si>
    <t>🚕 Transporte obrigatório</t>
  </si>
  <si>
    <t>👨‍👩‍👧 Família</t>
  </si>
  <si>
    <t>Mês</t>
  </si>
  <si>
    <t>Gastos</t>
  </si>
  <si>
    <t>Saldo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</si>
  <si>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</si>
  <si>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</si>
  <si>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</si>
  <si>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</si>
  <si>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</si>
  <si>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</si>
  <si>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</si>
  <si>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</si>
  <si>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</si>
  <si>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</si>
  <si>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</si>
  <si>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</si>
  <si>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Controle financeiro - Janeiro 2026</t>
  </si>
  <si>
    <t>Receitas por categoria</t>
  </si>
  <si>
    <t>Gastos essenciais por categoria</t>
  </si>
  <si>
    <t>Gastos não essenciais por categoria</t>
  </si>
  <si>
    <t>Categoria</t>
  </si>
  <si>
    <t>Total</t>
  </si>
  <si>
    <t>Data</t>
  </si>
  <si>
    <t>Valor</t>
  </si>
  <si>
    <t>Controle financeiro - Fevereiro 2026</t>
  </si>
  <si>
    <t>Controle financeiro - Março 2026</t>
  </si>
  <si>
    <t>Controle financeiro - Abril 2026</t>
  </si>
  <si>
    <t>Controle financeiro - Maio 2026</t>
  </si>
  <si>
    <t>Controle financeiro - Junho 2026</t>
  </si>
  <si>
    <t>Controle financeiro - Julho 2026</t>
  </si>
  <si>
    <t>Saldo para investir</t>
  </si>
  <si>
    <t>Controle financeiro - Agosto 2026</t>
  </si>
  <si>
    <t>Controle financeiro - Setembro 2026</t>
  </si>
  <si>
    <t>Controle financeiro - Outubro 2026</t>
  </si>
  <si>
    <t>Controle financeiro - Novembro 2026</t>
  </si>
  <si>
    <t>Controle financeiro - Dezembro 2026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</si>
</sst>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R$ #,##0.00"/>
    <numFmt numFmtId="165" formatCode="R$ #,##0.00;[Red]-R$ #,##0.00;R$ 0.00"/>
    <numFmt numFmtId="166" formatCode="dd/mm/yyyy"/>
  </numFmts>
  <fonts count="10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rgb="FF000000"/>
      <name val="Carlito"/>
    </font>
    <font>
      <sz val="11.0"/>
      <color theme="1"/>
      <name val="Carlito"/>
    </font>
    <font>
      <b/>
      <sz val="14.0"/>
      <color rgb="FFFFFFFF"/>
      <name val="Calibri"/>
    </font>
    <font>
      <sz val="11.0"/>
      <color theme="1"/>
      <name val="Calibri"/>
    </font>
    <font>
      <b/>
      <sz val="11.0"/>
      <color theme="1"/>
      <name val="Calibri"/>
    </font>
    <font>
      <b/>
      <sz val="11.0"/>
      <color rgb="FFFFFFFF"/>
      <name val="Calibri"/>
    </font>
    <font>
      <b/>
      <sz val="11.0"/>
      <color rgb="FF1F4E78"/>
      <name val="Carlito"/>
    </font>
    <font>
      <color theme="1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17365D"/>
        <bgColor rgb="FF17365D"/>
      </patternFill>
    </fill>
    <fill>
      <patternFill patternType="solid">
        <fgColor rgb="FFEAF2F8"/>
        <bgColor rgb="FFEAF2F8"/>
      </patternFill>
    </fill>
    <fill>
      <patternFill patternType="solid">
        <fgColor rgb="FFE2F0D9"/>
        <bgColor rgb="FFE2F0D9"/>
      </patternFill>
    </fill>
    <fill>
      <patternFill patternType="solid">
        <fgColor rgb="FFFCE4D6"/>
        <bgColor rgb="FFFCE4D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vertical="bottom" wrapText="1"/>
    </xf>
    <xf borderId="0" fillId="0" fontId="3" numFmtId="0" xfId="0" applyAlignment="1" applyFont="1">
      <alignment shrinkToFit="0" wrapText="1"/>
    </xf>
    <xf borderId="1" fillId="2" fontId="1" numFmtId="0" xfId="0" applyAlignment="1" applyBorder="1" applyFont="1">
      <alignment horizontal="center" vertical="center"/>
    </xf>
    <xf borderId="1" fillId="0" fontId="3" numFmtId="0" xfId="0" applyAlignment="1" applyBorder="1" applyFont="1">
      <alignment vertical="center"/>
    </xf>
    <xf borderId="1" fillId="0" fontId="3" numFmtId="164" xfId="0" applyAlignment="1" applyBorder="1" applyFont="1" applyNumberFormat="1">
      <alignment vertical="center"/>
    </xf>
    <xf borderId="0" fillId="3" fontId="4" numFmtId="0" xfId="0" applyAlignment="1" applyFill="1" applyFont="1">
      <alignment horizontal="center"/>
    </xf>
    <xf borderId="0" fillId="0" fontId="5" numFmtId="0" xfId="0" applyFont="1"/>
    <xf borderId="0" fillId="4" fontId="6" numFmtId="0" xfId="0" applyFill="1" applyFont="1"/>
    <xf borderId="0" fillId="4" fontId="6" numFmtId="165" xfId="0" applyFont="1" applyNumberFormat="1"/>
    <xf borderId="0" fillId="5" fontId="6" numFmtId="0" xfId="0" applyFill="1" applyFont="1"/>
    <xf borderId="0" fillId="5" fontId="6" numFmtId="165" xfId="0" applyFont="1" applyNumberFormat="1"/>
    <xf borderId="0" fillId="6" fontId="6" numFmtId="0" xfId="0" applyAlignment="1" applyFill="1" applyFont="1">
      <alignment shrinkToFit="0" wrapText="0"/>
    </xf>
    <xf borderId="0" fillId="6" fontId="6" numFmtId="165" xfId="0" applyFont="1" applyNumberFormat="1"/>
    <xf borderId="0" fillId="2" fontId="1" numFmtId="0" xfId="0" applyAlignment="1" applyFont="1">
      <alignment horizontal="center" shrinkToFit="0" vertical="center" wrapText="0"/>
    </xf>
    <xf borderId="0" fillId="2" fontId="7" numFmtId="0" xfId="0" applyAlignment="1" applyFont="1">
      <alignment horizontal="center"/>
    </xf>
    <xf borderId="0" fillId="7" fontId="8" numFmtId="0" xfId="0" applyAlignment="1" applyFill="1" applyFont="1">
      <alignment horizontal="center" shrinkToFit="0" vertical="center" wrapText="0"/>
    </xf>
    <xf borderId="0" fillId="7" fontId="6" numFmtId="0" xfId="0" applyAlignment="1" applyFont="1">
      <alignment horizontal="center"/>
    </xf>
    <xf borderId="0" fillId="5" fontId="6" numFmtId="0" xfId="0" applyAlignment="1" applyFont="1">
      <alignment horizontal="center"/>
    </xf>
    <xf borderId="0" fillId="6" fontId="6" numFmtId="0" xfId="0" applyAlignment="1" applyFont="1">
      <alignment horizontal="center"/>
    </xf>
    <xf borderId="0" fillId="8" fontId="2" numFmtId="0" xfId="0" applyAlignment="1" applyFill="1" applyFont="1">
      <alignment shrinkToFit="0" vertical="bottom" wrapText="0"/>
    </xf>
    <xf borderId="0" fillId="8" fontId="2" numFmtId="165" xfId="0" applyAlignment="1" applyFont="1" applyNumberFormat="1">
      <alignment shrinkToFit="0" vertical="bottom" wrapText="0"/>
    </xf>
    <xf borderId="0" fillId="0" fontId="9" numFmtId="0" xfId="0" applyFont="1"/>
    <xf borderId="0" fillId="0" fontId="2" numFmtId="165" xfId="0" applyAlignment="1" applyFont="1" applyNumberFormat="1">
      <alignment shrinkToFit="0" vertical="bottom" wrapText="0"/>
    </xf>
    <xf borderId="0" fillId="0" fontId="5" numFmtId="166" xfId="0" applyAlignment="1" applyFont="1" applyNumberFormat="1">
      <alignment vertical="center"/>
    </xf>
    <xf borderId="0" fillId="0" fontId="5" numFmtId="165" xfId="0" applyAlignment="1" applyFont="1" applyNumberFormat="1">
      <alignment vertical="center"/>
    </xf>
    <xf borderId="0" fillId="0" fontId="5" numFmtId="0" xfId="0" applyAlignment="1" applyFont="1">
      <alignment vertical="center"/>
    </xf>
    <xf borderId="0" fillId="0" fontId="3" numFmtId="0" xfId="0" applyAlignment="1" applyFont="1">
      <alignment vertical="bottom"/>
    </xf>
    <xf borderId="0" fillId="6" fontId="6" numFmtId="0" xfId="0" applyFont="1"/>
    <xf borderId="0" fillId="0" fontId="3" numFmtId="164" xfId="0" applyAlignment="1" applyFont="1" applyNumberFormat="1">
      <alignment vertical="bottom"/>
    </xf>
    <xf borderId="0" fillId="8" fontId="9" numFmtId="0" xfId="0" applyFont="1"/>
    <xf borderId="0" fillId="0" fontId="5" numFmtId="14" xfId="0" applyAlignment="1" applyFont="1" applyNumberForma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18" Type="http://customschemas.google.com/relationships/workbookmetadata" Target="metadata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Receitas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val>
            <c:numRef>
              <c:f>'Resumo Mensal'!$B$2:$B$13</c:f>
              <c:numCache/>
            </c:numRef>
          </c:val>
        </c:ser>
        <c:ser>
          <c:idx val="1"/>
          <c:order val="1"/>
          <c:tx>
            <c:v>Gastos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val>
            <c:numRef>
              <c:f>'Resumo Mensal'!$C$2:$C$13</c:f>
              <c:numCache/>
            </c:numRef>
          </c:val>
        </c:ser>
        <c:ser>
          <c:idx val="2"/>
          <c:order val="2"/>
          <c:tx>
            <c:v>Saldo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val>
            <c:numRef>
              <c:f>'Resumo Mensal'!$D$2:$D$13</c:f>
              <c:numCache/>
            </c:numRef>
          </c:val>
        </c:ser>
        <c:axId val="1475509741"/>
        <c:axId val="73973442"/>
      </c:barChart>
      <c:catAx>
        <c:axId val="14755097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73973442"/>
      </c:catAx>
      <c:valAx>
        <c:axId val="7397344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7550974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Janeiro!$M$6:$M$105</c:f>
            </c:strRef>
          </c:cat>
          <c:val>
            <c:numRef>
              <c:f>Janeiro!$N$6:$N$105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Janeiro!$P$6:$P$105</c:f>
            </c:strRef>
          </c:cat>
          <c:val>
            <c:numRef>
              <c:f>Janeiro!$Q$6:$Q$105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Janeiro!$S$6:$S$105</c:f>
            </c:strRef>
          </c:cat>
          <c:val>
            <c:numRef>
              <c:f>Janeiro!$T$6:$T$105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Fevereiro!$M$6:$M$105</c:f>
            </c:strRef>
          </c:cat>
          <c:val>
            <c:numRef>
              <c:f>Fevereiro!$N$6:$N$105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Fevereiro!$P$6:$P$105</c:f>
            </c:strRef>
          </c:cat>
          <c:val>
            <c:numRef>
              <c:f>Fevereiro!$Q$6:$Q$105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Fevereiro!$S$6:$S$105</c:f>
            </c:strRef>
          </c:cat>
          <c:val>
            <c:numRef>
              <c:f>Fevereiro!$T$6:$T$105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'Março'!$M$6:$M$105</c:f>
            </c:strRef>
          </c:cat>
          <c:val>
            <c:numRef>
              <c:f>'Março'!$N$6:$N$105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'Março'!$P$6:$P$105</c:f>
            </c:strRef>
          </c:cat>
          <c:val>
            <c:numRef>
              <c:f>'Março'!$Q$6:$Q$105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'Março'!$S$6:$S$105</c:f>
            </c:strRef>
          </c:cat>
          <c:val>
            <c:numRef>
              <c:f>'Março'!$T$6:$T$105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Abril!$M$6:$M$105</c:f>
            </c:strRef>
          </c:cat>
          <c:val>
            <c:numRef>
              <c:f>Abril!$N$6:$N$105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Abril!$P$6:$P$105</c:f>
            </c:strRef>
          </c:cat>
          <c:val>
            <c:numRef>
              <c:f>Abril!$Q$6:$Q$105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Abril!$S$6:$S$105</c:f>
            </c:strRef>
          </c:cat>
          <c:val>
            <c:numRef>
              <c:f>Abril!$T$6:$T$105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Maio!$M$6:$M$105</c:f>
            </c:strRef>
          </c:cat>
          <c:val>
            <c:numRef>
              <c:f>Maio!$N$6:$N$105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Maio!$P$6:$P$105</c:f>
            </c:strRef>
          </c:cat>
          <c:val>
            <c:numRef>
              <c:f>Maio!$Q$6:$Q$105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Maio!$S$6:$S$105</c:f>
            </c:strRef>
          </c:cat>
          <c:val>
            <c:numRef>
              <c:f>Maio!$T$6:$T$105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Junho!$M$6:$M$105</c:f>
            </c:strRef>
          </c:cat>
          <c:val>
            <c:numRef>
              <c:f>Junho!$N$6:$N$105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Junho!$P$6:$P$105</c:f>
            </c:strRef>
          </c:cat>
          <c:val>
            <c:numRef>
              <c:f>Junho!$Q$6:$Q$105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Junho!$S$6:$S$105</c:f>
            </c:strRef>
          </c:cat>
          <c:val>
            <c:numRef>
              <c:f>Junho!$T$6:$T$105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Julho!$M$6:$M$105</c:f>
            </c:strRef>
          </c:cat>
          <c:val>
            <c:numRef>
              <c:f>Julho!$N$6:$N$105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Julho!$P$6:$P$105</c:f>
            </c:strRef>
          </c:cat>
          <c:val>
            <c:numRef>
              <c:f>Julho!$Q$6:$Q$105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Julho!$S$6:$S$105</c:f>
            </c:strRef>
          </c:cat>
          <c:val>
            <c:numRef>
              <c:f>Julho!$T$6:$T$105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Agosto!$M$6:$M$105</c:f>
            </c:strRef>
          </c:cat>
          <c:val>
            <c:numRef>
              <c:f>Agosto!$N$6:$N$105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Agosto!$P$6:$P$105</c:f>
            </c:strRef>
          </c:cat>
          <c:val>
            <c:numRef>
              <c:f>Agosto!$Q$6:$Q$105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Agosto!$S$6:$S$105</c:f>
            </c:strRef>
          </c:cat>
          <c:val>
            <c:numRef>
              <c:f>Agosto!$T$6:$T$105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Setembro!$M$6:$M$105</c:f>
            </c:strRef>
          </c:cat>
          <c:val>
            <c:numRef>
              <c:f>Setembro!$N$6:$N$105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Setembro!$P$6:$P$105</c:f>
            </c:strRef>
          </c:cat>
          <c:val>
            <c:numRef>
              <c:f>Setembro!$Q$6:$Q$105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8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Setembro!$S$6:$S$105</c:f>
            </c:strRef>
          </c:cat>
          <c:val>
            <c:numRef>
              <c:f>Setembro!$T$6:$T$105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9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Outubro!$M$6:$M$105</c:f>
            </c:strRef>
          </c:cat>
          <c:val>
            <c:numRef>
              <c:f>Outubro!$N$6:$N$105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0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Outubro!$P$6:$P$105</c:f>
            </c:strRef>
          </c:cat>
          <c:val>
            <c:numRef>
              <c:f>Outubro!$Q$6:$Q$105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Outubro!$S$6:$S$105</c:f>
            </c:strRef>
          </c:cat>
          <c:val>
            <c:numRef>
              <c:f>Outubro!$T$6:$T$105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Novembro!$M$6:$M$105</c:f>
            </c:strRef>
          </c:cat>
          <c:val>
            <c:numRef>
              <c:f>Novembro!$N$6:$N$105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Novembro!$P$6:$P$105</c:f>
            </c:strRef>
          </c:cat>
          <c:val>
            <c:numRef>
              <c:f>Novembro!$Q$6:$Q$105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Novembro!$S$6:$S$105</c:f>
            </c:strRef>
          </c:cat>
          <c:val>
            <c:numRef>
              <c:f>Novembro!$T$6:$T$105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</c:dPt>
          <c:dPt>
            <c:idx val="12"/>
          </c:dPt>
          <c:dPt>
            <c:idx val="13"/>
          </c:dPt>
          <c:dPt>
            <c:idx val="14"/>
          </c:dPt>
          <c:dPt>
            <c:idx val="15"/>
          </c:dPt>
          <c:dPt>
            <c:idx val="16"/>
          </c:dPt>
          <c:dPt>
            <c:idx val="17"/>
          </c:dPt>
          <c:dPt>
            <c:idx val="18"/>
          </c:dPt>
          <c:dPt>
            <c:idx val="19"/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Dezembro!$M$6:$M$105</c:f>
            </c:strRef>
          </c:cat>
          <c:val>
            <c:numRef>
              <c:f>Dezembro!$N$6:$N$105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  <c:spPr>
              <a:solidFill>
                <a:srgbClr val="E8F0E9"/>
              </a:solidFill>
            </c:spPr>
          </c:dPt>
          <c:dPt>
            <c:idx val="21"/>
            <c:spPr>
              <a:solidFill>
                <a:srgbClr val="E7F5FB"/>
              </a:solidFill>
            </c:spPr>
          </c:dPt>
          <c:dPt>
            <c:idx val="22"/>
            <c:spPr>
              <a:solidFill>
                <a:srgbClr val="F6EAF4"/>
              </a:solidFill>
            </c:spPr>
          </c:dPt>
          <c:dPt>
            <c:idx val="23"/>
            <c:spPr>
              <a:solidFill>
                <a:srgbClr val="EDF6EA"/>
              </a:solidFill>
            </c:spPr>
          </c:dPt>
          <c:dPt>
            <c:idx val="24"/>
            <c:spPr>
              <a:solidFill>
                <a:srgbClr val="2E1F18"/>
              </a:solidFill>
            </c:spPr>
          </c:dPt>
          <c:dPt>
            <c:idx val="25"/>
            <c:spPr>
              <a:solidFill>
                <a:srgbClr val="031B28"/>
              </a:solidFill>
            </c:spPr>
          </c:dPt>
          <c:dPt>
            <c:idx val="26"/>
            <c:spPr>
              <a:solidFill>
                <a:srgbClr val="2D1D2B"/>
              </a:solidFill>
            </c:spPr>
          </c:dPt>
          <c:dPt>
            <c:idx val="27"/>
            <c:spPr>
              <a:solidFill>
                <a:srgbClr val="2F1207"/>
              </a:solidFill>
            </c:spPr>
          </c:dPt>
          <c:dPt>
            <c:idx val="28"/>
            <c:spPr>
              <a:solidFill>
                <a:srgbClr val="122915"/>
              </a:solidFill>
            </c:spPr>
          </c:dPt>
          <c:dPt>
            <c:idx val="29"/>
            <c:spPr>
              <a:solidFill>
                <a:srgbClr val="221129"/>
              </a:solidFill>
            </c:spPr>
          </c:dPt>
          <c:dPt>
            <c:idx val="30"/>
            <c:spPr>
              <a:solidFill>
                <a:srgbClr val="744F3E"/>
              </a:solidFill>
            </c:spPr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Dezembro!$P$6:$P$105</c:f>
            </c:strRef>
          </c:cat>
          <c:val>
            <c:numRef>
              <c:f>Dezembro!$Q$6:$Q$105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Pt>
            <c:idx val="8"/>
            <c:spPr>
              <a:solidFill>
                <a:srgbClr val="5E9766"/>
              </a:solidFill>
            </c:spPr>
          </c:dPt>
          <c:dPt>
            <c:idx val="9"/>
            <c:spPr>
              <a:solidFill>
                <a:srgbClr val="57BBE2"/>
              </a:solidFill>
            </c:spPr>
          </c:dPt>
          <c:dPt>
            <c:idx val="10"/>
            <c:spPr>
              <a:solidFill>
                <a:srgbClr val="BD6BB3"/>
              </a:solidFill>
            </c:spPr>
          </c:dPt>
          <c:dPt>
            <c:idx val="11"/>
            <c:spPr>
              <a:solidFill>
                <a:srgbClr val="83C16D"/>
              </a:solidFill>
            </c:spPr>
          </c:dPt>
          <c:dPt>
            <c:idx val="12"/>
            <c:spPr>
              <a:solidFill>
                <a:srgbClr val="A1BFCD"/>
              </a:solidFill>
            </c:spPr>
          </c:dPt>
          <c:dPt>
            <c:idx val="13"/>
            <c:spPr>
              <a:solidFill>
                <a:srgbClr val="F6C6AD"/>
              </a:solidFill>
            </c:spPr>
          </c:dPt>
          <c:dPt>
            <c:idx val="14"/>
            <c:spPr>
              <a:solidFill>
                <a:srgbClr val="A3C4A7"/>
              </a:solidFill>
            </c:spPr>
          </c:dPt>
          <c:dPt>
            <c:idx val="15"/>
            <c:spPr>
              <a:solidFill>
                <a:srgbClr val="9FD8EE"/>
              </a:solidFill>
            </c:spPr>
          </c:dPt>
          <c:dPt>
            <c:idx val="16"/>
            <c:spPr>
              <a:solidFill>
                <a:srgbClr val="D9AAD4"/>
              </a:solidFill>
            </c:spPr>
          </c:dPt>
          <c:dPt>
            <c:idx val="17"/>
            <c:spPr>
              <a:solidFill>
                <a:srgbClr val="B8DCAB"/>
              </a:solidFill>
            </c:spPr>
          </c:dPt>
          <c:dPt>
            <c:idx val="18"/>
            <c:spPr>
              <a:solidFill>
                <a:srgbClr val="E8EFF3"/>
              </a:solidFill>
            </c:spPr>
          </c:dPt>
          <c:dPt>
            <c:idx val="19"/>
            <c:spPr>
              <a:solidFill>
                <a:srgbClr val="FDF1EB"/>
              </a:solidFill>
            </c:spPr>
          </c:dPt>
          <c:dPt>
            <c:idx val="20"/>
          </c:dPt>
          <c:dPt>
            <c:idx val="21"/>
          </c:dPt>
          <c:dPt>
            <c:idx val="22"/>
          </c:dPt>
          <c:dPt>
            <c:idx val="23"/>
          </c:dPt>
          <c:dPt>
            <c:idx val="24"/>
          </c:dPt>
          <c:dPt>
            <c:idx val="25"/>
          </c:dPt>
          <c:dPt>
            <c:idx val="26"/>
          </c:dPt>
          <c:dPt>
            <c:idx val="27"/>
          </c:dPt>
          <c:dPt>
            <c:idx val="28"/>
          </c:dPt>
          <c:dPt>
            <c:idx val="29"/>
          </c:dPt>
          <c:dPt>
            <c:idx val="30"/>
          </c:dPt>
          <c:dPt>
            <c:idx val="31"/>
          </c:dPt>
          <c:dPt>
            <c:idx val="32"/>
          </c:dPt>
          <c:dPt>
            <c:idx val="33"/>
          </c:dPt>
          <c:dPt>
            <c:idx val="34"/>
          </c:dPt>
          <c:dPt>
            <c:idx val="35"/>
          </c:dPt>
          <c:dPt>
            <c:idx val="36"/>
          </c:dPt>
          <c:dPt>
            <c:idx val="37"/>
          </c:dPt>
          <c:dPt>
            <c:idx val="38"/>
          </c:dPt>
          <c:dPt>
            <c:idx val="39"/>
          </c:dPt>
          <c:dPt>
            <c:idx val="40"/>
          </c:dPt>
          <c:dPt>
            <c:idx val="41"/>
          </c:dPt>
          <c:dPt>
            <c:idx val="42"/>
          </c:dPt>
          <c:dPt>
            <c:idx val="43"/>
          </c:dPt>
          <c:dPt>
            <c:idx val="44"/>
          </c:dPt>
          <c:dPt>
            <c:idx val="45"/>
          </c:dPt>
          <c:dPt>
            <c:idx val="46"/>
          </c:dPt>
          <c:dPt>
            <c:idx val="47"/>
          </c:dPt>
          <c:dPt>
            <c:idx val="48"/>
          </c:dPt>
          <c:dPt>
            <c:idx val="49"/>
          </c:dPt>
          <c:dPt>
            <c:idx val="50"/>
          </c:dPt>
          <c:dPt>
            <c:idx val="51"/>
          </c:dPt>
          <c:dPt>
            <c:idx val="52"/>
          </c:dPt>
          <c:dPt>
            <c:idx val="53"/>
          </c:dPt>
          <c:dPt>
            <c:idx val="54"/>
          </c:dPt>
          <c:dPt>
            <c:idx val="55"/>
          </c:dPt>
          <c:dPt>
            <c:idx val="56"/>
          </c:dPt>
          <c:dPt>
            <c:idx val="57"/>
          </c:dPt>
          <c:dPt>
            <c:idx val="58"/>
          </c:dPt>
          <c:dPt>
            <c:idx val="59"/>
          </c:dPt>
          <c:dPt>
            <c:idx val="60"/>
          </c:dPt>
          <c:dPt>
            <c:idx val="61"/>
          </c:dPt>
          <c:dPt>
            <c:idx val="62"/>
          </c:dPt>
          <c:dPt>
            <c:idx val="63"/>
          </c:dPt>
          <c:dPt>
            <c:idx val="64"/>
          </c:dPt>
          <c:dPt>
            <c:idx val="65"/>
          </c:dPt>
          <c:dPt>
            <c:idx val="66"/>
          </c:dPt>
          <c:dPt>
            <c:idx val="67"/>
          </c:dPt>
          <c:dPt>
            <c:idx val="68"/>
          </c:dPt>
          <c:dPt>
            <c:idx val="69"/>
          </c:dPt>
          <c:dPt>
            <c:idx val="70"/>
          </c:dPt>
          <c:dPt>
            <c:idx val="71"/>
          </c:dPt>
          <c:dPt>
            <c:idx val="72"/>
          </c:dPt>
          <c:dPt>
            <c:idx val="73"/>
          </c:dPt>
          <c:dPt>
            <c:idx val="74"/>
          </c:dPt>
          <c:dPt>
            <c:idx val="75"/>
          </c:dPt>
          <c:dPt>
            <c:idx val="76"/>
          </c:dPt>
          <c:dPt>
            <c:idx val="77"/>
          </c:dPt>
          <c:dPt>
            <c:idx val="78"/>
          </c:dPt>
          <c:dPt>
            <c:idx val="79"/>
          </c:dPt>
          <c:dPt>
            <c:idx val="80"/>
          </c:dPt>
          <c:dPt>
            <c:idx val="81"/>
          </c:dPt>
          <c:dPt>
            <c:idx val="82"/>
          </c:dPt>
          <c:dPt>
            <c:idx val="83"/>
          </c:dPt>
          <c:dPt>
            <c:idx val="84"/>
          </c:dPt>
          <c:dPt>
            <c:idx val="85"/>
          </c:dPt>
          <c:dPt>
            <c:idx val="86"/>
          </c:dPt>
          <c:dPt>
            <c:idx val="87"/>
          </c:dPt>
          <c:dPt>
            <c:idx val="88"/>
          </c:dPt>
          <c:dPt>
            <c:idx val="89"/>
          </c:dPt>
          <c:dPt>
            <c:idx val="90"/>
          </c:dPt>
          <c:dPt>
            <c:idx val="91"/>
          </c:dPt>
          <c:dPt>
            <c:idx val="92"/>
          </c:dPt>
          <c:dPt>
            <c:idx val="93"/>
          </c:dPt>
          <c:dPt>
            <c:idx val="94"/>
          </c:dPt>
          <c:dPt>
            <c:idx val="95"/>
          </c:dPt>
          <c:dPt>
            <c:idx val="96"/>
          </c:dPt>
          <c:dPt>
            <c:idx val="97"/>
          </c:dPt>
          <c:dPt>
            <c:idx val="98"/>
          </c:dPt>
          <c:dPt>
            <c:idx val="99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Dezembro!$S$6:$S$105</c:f>
            </c:strRef>
          </c:cat>
          <c:val>
            <c:numRef>
              <c:f>Dezembro!$T$6:$T$105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8.xml"/><Relationship Id="rId2" Type="http://schemas.openxmlformats.org/officeDocument/2006/relationships/chart" Target="../charts/chart9.xml"/><Relationship Id="rId3" Type="http://schemas.openxmlformats.org/officeDocument/2006/relationships/chart" Target="../charts/chart10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4.xml"/><Relationship Id="rId2" Type="http://schemas.openxmlformats.org/officeDocument/2006/relationships/chart" Target="../charts/chart15.xml"/><Relationship Id="rId3" Type="http://schemas.openxmlformats.org/officeDocument/2006/relationships/chart" Target="../charts/chart16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Relationship Id="rId3" Type="http://schemas.openxmlformats.org/officeDocument/2006/relationships/chart" Target="../charts/chart19.xml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chart" Target="../charts/chart20.xml"/><Relationship Id="rId2" Type="http://schemas.openxmlformats.org/officeDocument/2006/relationships/chart" Target="../charts/chart21.xml"/><Relationship Id="rId3" Type="http://schemas.openxmlformats.org/officeDocument/2006/relationships/chart" Target="../charts/chart22.xml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chart" Target="../charts/chart26.xml"/><Relationship Id="rId2" Type="http://schemas.openxmlformats.org/officeDocument/2006/relationships/chart" Target="../charts/chart27.xml"/><Relationship Id="rId3" Type="http://schemas.openxmlformats.org/officeDocument/2006/relationships/chart" Target="../charts/chart28.xml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9.xml"/><Relationship Id="rId2" Type="http://schemas.openxmlformats.org/officeDocument/2006/relationships/chart" Target="../charts/chart30.xml"/><Relationship Id="rId3" Type="http://schemas.openxmlformats.org/officeDocument/2006/relationships/chart" Target="../charts/chart31.xml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chart" Target="../charts/chart32.xml"/><Relationship Id="rId2" Type="http://schemas.openxmlformats.org/officeDocument/2006/relationships/chart" Target="../charts/chart33.xml"/><Relationship Id="rId3" Type="http://schemas.openxmlformats.org/officeDocument/2006/relationships/chart" Target="../charts/chart34.xml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chart" Target="../charts/chart35.xml"/><Relationship Id="rId2" Type="http://schemas.openxmlformats.org/officeDocument/2006/relationships/chart" Target="../charts/chart36.xml"/><Relationship Id="rId3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1</xdr:row>
      <xdr:rowOff>0</xdr:rowOff>
    </xdr:from>
    <xdr:ext cx="5915025" cy="3800475"/>
    <xdr:graphicFrame>
      <xdr:nvGraphicFramePr>
        <xdr:cNvPr id="206735261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869665311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300879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197921780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304021945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2055359351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2005039630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066083648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1128342298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598488343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267185137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115964889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76096432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275492487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684894822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464176189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995677872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1069676488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2093206613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580769256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464118647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1150767424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746634046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467315787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289613343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851033780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1135291521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1761174442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914415943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931043340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1448214269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464756372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554456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1167845786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22</xdr:col>
      <xdr:colOff>0</xdr:colOff>
      <xdr:row>2</xdr:row>
      <xdr:rowOff>0</xdr:rowOff>
    </xdr:from>
    <xdr:ext cx="7696200" cy="3276600"/>
    <xdr:graphicFrame>
      <xdr:nvGraphicFramePr>
        <xdr:cNvPr id="1681487211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22</xdr:col>
      <xdr:colOff>0</xdr:colOff>
      <xdr:row>19</xdr:row>
      <xdr:rowOff>0</xdr:rowOff>
    </xdr:from>
    <xdr:ext cx="7696200" cy="3200400"/>
    <xdr:graphicFrame>
      <xdr:nvGraphicFramePr>
        <xdr:cNvPr id="953504453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22</xdr:col>
      <xdr:colOff>0</xdr:colOff>
      <xdr:row>36</xdr:row>
      <xdr:rowOff>0</xdr:rowOff>
    </xdr:from>
    <xdr:ext cx="7696200" cy="3200400"/>
    <xdr:graphicFrame>
      <xdr:nvGraphicFramePr>
        <xdr:cNvPr id="159109996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" width="28.0"/>
    <col customWidth="1" min="4" max="6" width="8.63"/>
  </cols>
  <sheetData>
    <row r="1">
      <c r="A1" s="1" t="s">
        <v>0</v>
      </c>
      <c r="B1" s="1" t="s">
        <v>1</v>
      </c>
      <c r="C1" s="1" t="s">
        <v>2</v>
      </c>
      <c r="E1" s="2"/>
    </row>
    <row r="2">
      <c r="A2" s="3" t="s">
        <v>3</v>
      </c>
      <c r="B2" s="3" t="s">
        <v>4</v>
      </c>
      <c r="C2" s="3" t="s">
        <v>5</v>
      </c>
      <c r="E2" s="2"/>
    </row>
    <row r="3">
      <c r="A3" s="3" t="s">
        <v>6</v>
      </c>
      <c r="B3" s="3" t="s">
        <v>7</v>
      </c>
      <c r="C3" s="3" t="s">
        <v>8</v>
      </c>
      <c r="E3" s="2"/>
    </row>
    <row r="4">
      <c r="A4" s="3" t="s">
        <v>9</v>
      </c>
      <c r="B4" s="3" t="s">
        <v>10</v>
      </c>
      <c r="C4" s="3" t="s">
        <v>11</v>
      </c>
      <c r="E4" s="2"/>
    </row>
    <row r="5">
      <c r="A5" s="3" t="s">
        <v>12</v>
      </c>
      <c r="B5" s="3" t="s">
        <v>13</v>
      </c>
      <c r="C5" s="3" t="s">
        <v>14</v>
      </c>
      <c r="E5" s="2"/>
    </row>
    <row r="6">
      <c r="A6" s="3" t="s">
        <v>15</v>
      </c>
      <c r="B6" s="3" t="s">
        <v>16</v>
      </c>
      <c r="C6" s="3" t="s">
        <v>17</v>
      </c>
    </row>
    <row r="7">
      <c r="A7" s="3" t="s">
        <v>18</v>
      </c>
      <c r="B7" s="3" t="s">
        <v>19</v>
      </c>
      <c r="C7" s="3" t="s">
        <v>20</v>
      </c>
    </row>
    <row r="8">
      <c r="A8" s="3" t="s">
        <v>21</v>
      </c>
      <c r="B8" s="3" t="s">
        <v>22</v>
      </c>
      <c r="C8" s="3" t="s">
        <v>23</v>
      </c>
    </row>
    <row r="9">
      <c r="A9" s="3" t="s">
        <v>24</v>
      </c>
      <c r="B9" s="3" t="s">
        <v>25</v>
      </c>
      <c r="C9" s="3" t="s">
        <v>26</v>
      </c>
    </row>
    <row r="10">
      <c r="A10" s="3" t="s">
        <v>27</v>
      </c>
      <c r="B10" s="3" t="s">
        <v>28</v>
      </c>
      <c r="C10" s="3" t="s">
        <v>29</v>
      </c>
    </row>
    <row r="11">
      <c r="A11" s="3" t="s">
        <v>30</v>
      </c>
      <c r="B11" s="3" t="s">
        <v>31</v>
      </c>
      <c r="C11" s="3" t="s">
        <v>32</v>
      </c>
    </row>
    <row r="12">
      <c r="A12" s="3" t="s">
        <v>33</v>
      </c>
      <c r="B12" s="3" t="s">
        <v>34</v>
      </c>
      <c r="C12" s="3" t="s">
        <v>35</v>
      </c>
    </row>
    <row r="13">
      <c r="A13" s="3"/>
      <c r="B13" s="3" t="s">
        <v>36</v>
      </c>
      <c r="C13" s="3" t="s">
        <v>37</v>
      </c>
    </row>
    <row r="14">
      <c r="A14" s="3"/>
      <c r="B14" s="3" t="s">
        <v>38</v>
      </c>
      <c r="C14" s="3" t="s">
        <v>39</v>
      </c>
    </row>
    <row r="15">
      <c r="A15" s="3"/>
      <c r="B15" s="3" t="s">
        <v>40</v>
      </c>
      <c r="C15" s="3" t="s">
        <v>41</v>
      </c>
    </row>
    <row r="16">
      <c r="A16" s="3"/>
      <c r="B16" s="3" t="s">
        <v>42</v>
      </c>
      <c r="C16" s="3" t="s">
        <v>43</v>
      </c>
    </row>
    <row r="17">
      <c r="A17" s="3"/>
      <c r="B17" s="3" t="s">
        <v>44</v>
      </c>
      <c r="C17" s="3" t="s">
        <v>45</v>
      </c>
    </row>
    <row r="18">
      <c r="A18" s="3"/>
      <c r="B18" s="3" t="s">
        <v>46</v>
      </c>
      <c r="C18" s="3" t="s">
        <v>47</v>
      </c>
    </row>
    <row r="19">
      <c r="A19" s="3"/>
      <c r="B19" s="3" t="s">
        <v>48</v>
      </c>
      <c r="C19" s="3" t="s">
        <v>49</v>
      </c>
    </row>
    <row r="20">
      <c r="A20" s="3"/>
      <c r="B20" s="3" t="s">
        <v>50</v>
      </c>
      <c r="C20" s="3" t="s">
        <v>51</v>
      </c>
    </row>
    <row r="21" ht="15.75" customHeight="1">
      <c r="A21" s="3"/>
      <c r="B21" s="3" t="s">
        <v>52</v>
      </c>
      <c r="C21" s="3" t="s">
        <v>53</v>
      </c>
    </row>
    <row r="22" ht="15.75" customHeight="1">
      <c r="A22" s="3"/>
      <c r="B22" s="3" t="s">
        <v>54</v>
      </c>
      <c r="C22" s="3"/>
    </row>
    <row r="23" ht="15.75" customHeight="1">
      <c r="A23" s="3"/>
      <c r="B23" s="3" t="s">
        <v>55</v>
      </c>
      <c r="C23" s="3"/>
    </row>
    <row r="24" ht="15.75" customHeight="1">
      <c r="A24" s="3"/>
      <c r="B24" s="3" t="s">
        <v>56</v>
      </c>
      <c r="C24" s="3"/>
    </row>
    <row r="25" ht="15.75" customHeight="1">
      <c r="A25" s="3"/>
      <c r="B25" s="3" t="s">
        <v>57</v>
      </c>
      <c r="C25" s="3"/>
    </row>
    <row r="26" ht="15.75" customHeight="1">
      <c r="A26" s="3"/>
      <c r="B26" s="3" t="s">
        <v>58</v>
      </c>
      <c r="C26" s="3"/>
    </row>
    <row r="27" ht="15.75" customHeight="1">
      <c r="A27" s="3"/>
      <c r="B27" s="3" t="s">
        <v>59</v>
      </c>
      <c r="C27" s="3"/>
    </row>
    <row r="28" ht="15.75" customHeight="1">
      <c r="A28" s="3"/>
      <c r="B28" s="3" t="s">
        <v>60</v>
      </c>
      <c r="C28" s="3"/>
    </row>
    <row r="29" ht="15.75" customHeight="1">
      <c r="A29" s="3"/>
      <c r="B29" s="3" t="s">
        <v>61</v>
      </c>
      <c r="C29" s="3"/>
    </row>
    <row r="30" ht="15.75" customHeight="1">
      <c r="A30" s="3"/>
      <c r="B30" s="3" t="s">
        <v>62</v>
      </c>
      <c r="C30" s="3"/>
    </row>
    <row r="31" ht="15.75" customHeight="1">
      <c r="A31" s="3"/>
      <c r="B31" s="3" t="s">
        <v>63</v>
      </c>
      <c r="C31" s="3"/>
    </row>
    <row r="32" ht="15.75" customHeight="1">
      <c r="A32" s="3"/>
      <c r="B32" s="3" t="s">
        <v>64</v>
      </c>
      <c r="C32" s="3"/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6" width="18.0"/>
  </cols>
  <sheetData>
    <row r="1">
      <c r="A1" s="4" t="s">
        <v>65</v>
      </c>
      <c r="B1" s="4" t="s">
        <v>0</v>
      </c>
      <c r="C1" s="4" t="s">
        <v>66</v>
      </c>
      <c r="D1" s="4" t="s">
        <v>67</v>
      </c>
      <c r="E1" s="4" t="s">
        <v>1</v>
      </c>
      <c r="F1" s="4" t="s">
        <v>2</v>
      </c>
    </row>
    <row r="2">
      <c r="A2" s="5" t="s">
        <v>68</v>
      </c>
      <c r="B2" s="6">
        <f>Janeiro!B3</f>
        <v>0</v>
      </c>
      <c r="C2" s="6">
        <f>Janeiro!F3+Janeiro!J3</f>
        <v>0</v>
      </c>
      <c r="D2" s="6">
        <f>Janeiro!B4</f>
        <v>0</v>
      </c>
      <c r="E2" s="6">
        <f>Janeiro!F3</f>
        <v>0</v>
      </c>
      <c r="F2" s="6">
        <f>Janeiro!J3</f>
        <v>0</v>
      </c>
    </row>
    <row r="3">
      <c r="A3" s="5" t="s">
        <v>69</v>
      </c>
      <c r="B3" s="6">
        <f>Fevereiro!B3</f>
        <v>0</v>
      </c>
      <c r="C3" s="6">
        <f>Fevereiro!F3+Fevereiro!J3</f>
        <v>0</v>
      </c>
      <c r="D3" s="6">
        <f>Fevereiro!B4</f>
        <v>0</v>
      </c>
      <c r="E3" s="6">
        <f>Fevereiro!F3</f>
        <v>0</v>
      </c>
      <c r="F3" s="6">
        <f>Fevereiro!J3</f>
        <v>0</v>
      </c>
    </row>
    <row r="4">
      <c r="A4" s="5" t="s">
        <v>70</v>
      </c>
      <c r="B4" s="6">
        <f>'Março'!B3</f>
        <v>0</v>
      </c>
      <c r="C4" s="6">
        <f>'Março'!F3+'Março'!J3</f>
        <v>0</v>
      </c>
      <c r="D4" s="6">
        <f>'Março'!B4</f>
        <v>0</v>
      </c>
      <c r="E4" s="6">
        <f>'Março'!F3</f>
        <v>0</v>
      </c>
      <c r="F4" s="6">
        <f>'Março'!J3</f>
        <v>0</v>
      </c>
    </row>
    <row r="5">
      <c r="A5" s="5" t="s">
        <v>71</v>
      </c>
      <c r="B5" s="6">
        <f>Abril!B3</f>
        <v>0</v>
      </c>
      <c r="C5" s="6">
        <f>Abril!F3+Abril!J3</f>
        <v>0</v>
      </c>
      <c r="D5" s="6">
        <f>Abril!B4</f>
        <v>0</v>
      </c>
      <c r="E5" s="6">
        <f>Abril!F3</f>
        <v>0</v>
      </c>
      <c r="F5" s="6">
        <f>Abril!J3</f>
        <v>0</v>
      </c>
    </row>
    <row r="6">
      <c r="A6" s="5" t="s">
        <v>72</v>
      </c>
      <c r="B6" s="6">
        <f>Maio!B3</f>
        <v>0</v>
      </c>
      <c r="C6" s="6">
        <f>Maio!F3+Maio!J3</f>
        <v>0</v>
      </c>
      <c r="D6" s="6">
        <f>Maio!B4</f>
        <v>0</v>
      </c>
      <c r="E6" s="6">
        <f>Maio!F3</f>
        <v>0</v>
      </c>
      <c r="F6" s="6">
        <f>Maio!J3</f>
        <v>0</v>
      </c>
    </row>
    <row r="7">
      <c r="A7" s="5" t="s">
        <v>73</v>
      </c>
      <c r="B7" s="6">
        <f>Junho!B3</f>
        <v>0</v>
      </c>
      <c r="C7" s="6">
        <f>Junho!F3+Junho!J3</f>
        <v>0</v>
      </c>
      <c r="D7" s="6">
        <f>Junho!B4</f>
        <v>0</v>
      </c>
      <c r="E7" s="6">
        <f>Junho!F3</f>
        <v>0</v>
      </c>
      <c r="F7" s="6">
        <f>Junho!J3</f>
        <v>0</v>
      </c>
    </row>
    <row r="8">
      <c r="A8" s="5" t="s">
        <v>74</v>
      </c>
      <c r="B8" s="6">
        <f>Julho!B3</f>
        <v>0</v>
      </c>
      <c r="C8" s="6">
        <f>Julho!F3+Julho!J3</f>
        <v>0</v>
      </c>
      <c r="D8" s="6">
        <f>Julho!B4</f>
        <v>0</v>
      </c>
      <c r="E8" s="6">
        <f>Julho!F3</f>
        <v>0</v>
      </c>
      <c r="F8" s="6">
        <f>Julho!J3</f>
        <v>0</v>
      </c>
    </row>
    <row r="9">
      <c r="A9" s="5" t="s">
        <v>75</v>
      </c>
      <c r="B9" s="6">
        <f>Agosto!B3</f>
        <v>0</v>
      </c>
      <c r="C9" s="6">
        <f>Agosto!F3+Agosto!J3</f>
        <v>0</v>
      </c>
      <c r="D9" s="6">
        <f>Agosto!B4</f>
        <v>0</v>
      </c>
      <c r="E9" s="6">
        <f>Agosto!F3</f>
        <v>0</v>
      </c>
      <c r="F9" s="6">
        <f>Agosto!J3</f>
        <v>0</v>
      </c>
    </row>
    <row r="10">
      <c r="A10" s="5" t="s">
        <v>76</v>
      </c>
      <c r="B10" s="6">
        <f>Setembro!B3</f>
        <v>0</v>
      </c>
      <c r="C10" s="6">
        <f>Setembro!F3+Setembro!J3</f>
        <v>0</v>
      </c>
      <c r="D10" s="6">
        <f>Setembro!B4</f>
        <v>0</v>
      </c>
      <c r="E10" s="6">
        <f>Setembro!F3</f>
        <v>0</v>
      </c>
      <c r="F10" s="6">
        <f>Setembro!J3</f>
        <v>0</v>
      </c>
    </row>
    <row r="11">
      <c r="A11" s="5" t="s">
        <v>77</v>
      </c>
      <c r="B11" s="6">
        <f>Outubro!B3</f>
        <v>0</v>
      </c>
      <c r="C11" s="6">
        <f>Outubro!F3+Outubro!J3</f>
        <v>0</v>
      </c>
      <c r="D11" s="6">
        <f>Outubro!B4</f>
        <v>0</v>
      </c>
      <c r="E11" s="6">
        <f>Outubro!F3</f>
        <v>0</v>
      </c>
      <c r="F11" s="6">
        <f>Outubro!J3</f>
        <v>0</v>
      </c>
    </row>
    <row r="12">
      <c r="A12" s="5" t="s">
        <v>78</v>
      </c>
      <c r="B12" s="6">
        <f>Novembro!B3</f>
        <v>0</v>
      </c>
      <c r="C12" s="6">
        <f>Novembro!F3+Novembro!J3</f>
        <v>0</v>
      </c>
      <c r="D12" s="6">
        <f>Novembro!B4</f>
        <v>0</v>
      </c>
      <c r="E12" s="6">
        <f>Novembro!F3</f>
        <v>0</v>
      </c>
      <c r="F12" s="6">
        <f>Novembro!J3</f>
        <v>0</v>
      </c>
    </row>
    <row r="13">
      <c r="A13" s="5" t="s">
        <v>79</v>
      </c>
      <c r="B13" s="6">
        <f>Dezembro!B3</f>
        <v>0</v>
      </c>
      <c r="C13" s="6">
        <f>Dezembro!F3+Dezembro!J3</f>
        <v>0</v>
      </c>
      <c r="D13" s="6">
        <f>Dezembro!B4</f>
        <v>0</v>
      </c>
      <c r="E13" s="6">
        <f>Dezembro!F3</f>
        <v>0</v>
      </c>
      <c r="F13" s="6">
        <f>Dezembro!J3</f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80</v>
      </c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13" t="s">
        <v>2</v>
      </c>
      <c r="J3" s="14">
        <f>SUM(J7:J300)</f>
        <v>0</v>
      </c>
      <c r="K3" s="8"/>
      <c r="M3" s="15" t="s">
        <v>81</v>
      </c>
      <c r="P3" s="15" t="s">
        <v>82</v>
      </c>
      <c r="S3" s="15" t="s">
        <v>83</v>
      </c>
    </row>
    <row r="4">
      <c r="A4" s="9" t="s">
        <v>67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</row>
    <row r="121" ht="15.75" customHeight="1">
      <c r="B121" s="24"/>
      <c r="C121" s="23"/>
      <c r="F121" s="24"/>
      <c r="G121" s="23"/>
      <c r="J121" s="24"/>
      <c r="K121" s="23"/>
    </row>
    <row r="122" ht="15.75" customHeight="1">
      <c r="B122" s="24"/>
      <c r="C122" s="23"/>
      <c r="F122" s="24"/>
      <c r="G122" s="23"/>
      <c r="J122" s="24"/>
      <c r="K122" s="23"/>
    </row>
    <row r="123" ht="15.75" customHeight="1">
      <c r="B123" s="24"/>
      <c r="C123" s="23"/>
      <c r="F123" s="24"/>
      <c r="G123" s="23"/>
      <c r="J123" s="24"/>
      <c r="K123" s="23"/>
    </row>
    <row r="124" ht="15.75" customHeight="1">
      <c r="B124" s="24"/>
      <c r="C124" s="23"/>
      <c r="F124" s="24"/>
      <c r="G124" s="23"/>
      <c r="J124" s="24"/>
      <c r="K124" s="23"/>
    </row>
    <row r="125" ht="15.75" customHeight="1">
      <c r="B125" s="24"/>
      <c r="C125" s="23"/>
      <c r="F125" s="24"/>
      <c r="G125" s="23"/>
      <c r="J125" s="24"/>
      <c r="K125" s="23"/>
    </row>
    <row r="126" ht="15.75" customHeight="1">
      <c r="B126" s="24"/>
      <c r="C126" s="23"/>
      <c r="F126" s="24"/>
      <c r="G126" s="23"/>
      <c r="J126" s="24"/>
      <c r="K126" s="23"/>
    </row>
    <row r="127" ht="15.75" customHeight="1">
      <c r="B127" s="24"/>
      <c r="C127" s="23"/>
      <c r="F127" s="24"/>
      <c r="G127" s="23"/>
      <c r="J127" s="24"/>
      <c r="K127" s="23"/>
    </row>
    <row r="128" ht="15.75" customHeight="1">
      <c r="B128" s="24"/>
      <c r="C128" s="23"/>
      <c r="F128" s="24"/>
      <c r="G128" s="23"/>
      <c r="J128" s="24"/>
      <c r="K128" s="23"/>
    </row>
    <row r="129" ht="15.75" customHeight="1">
      <c r="B129" s="24"/>
      <c r="C129" s="23"/>
      <c r="F129" s="24"/>
      <c r="G129" s="23"/>
      <c r="J129" s="24"/>
      <c r="K129" s="23"/>
    </row>
    <row r="130" ht="15.75" customHeight="1">
      <c r="B130" s="24"/>
      <c r="C130" s="23"/>
      <c r="F130" s="24"/>
      <c r="G130" s="23"/>
      <c r="J130" s="24"/>
      <c r="K130" s="23"/>
    </row>
    <row r="131" ht="15.75" customHeight="1">
      <c r="B131" s="24"/>
      <c r="C131" s="23"/>
      <c r="F131" s="24"/>
      <c r="G131" s="23"/>
      <c r="J131" s="24"/>
      <c r="K131" s="23"/>
    </row>
    <row r="132" ht="15.75" customHeight="1">
      <c r="B132" s="24"/>
      <c r="C132" s="23"/>
      <c r="F132" s="24"/>
      <c r="G132" s="23"/>
      <c r="J132" s="24"/>
      <c r="K132" s="23"/>
    </row>
    <row r="133" ht="15.75" customHeight="1">
      <c r="B133" s="24"/>
      <c r="C133" s="23"/>
      <c r="F133" s="24"/>
      <c r="G133" s="23"/>
      <c r="J133" s="24"/>
      <c r="K133" s="23"/>
    </row>
    <row r="134" ht="15.75" customHeight="1">
      <c r="B134" s="24"/>
      <c r="C134" s="23"/>
      <c r="F134" s="24"/>
      <c r="G134" s="23"/>
      <c r="J134" s="24"/>
      <c r="K134" s="23"/>
    </row>
    <row r="135" ht="15.75" customHeight="1">
      <c r="B135" s="24"/>
      <c r="C135" s="23"/>
      <c r="F135" s="24"/>
      <c r="G135" s="23"/>
      <c r="J135" s="24"/>
      <c r="K135" s="23"/>
    </row>
    <row r="136" ht="15.75" customHeight="1">
      <c r="B136" s="24"/>
      <c r="C136" s="23"/>
      <c r="F136" s="24"/>
      <c r="G136" s="23"/>
      <c r="J136" s="24"/>
      <c r="K136" s="23"/>
    </row>
    <row r="137" ht="15.75" customHeight="1">
      <c r="B137" s="24"/>
      <c r="C137" s="23"/>
      <c r="F137" s="24"/>
      <c r="G137" s="23"/>
      <c r="J137" s="24"/>
      <c r="K137" s="23"/>
    </row>
    <row r="138" ht="15.75" customHeight="1">
      <c r="B138" s="24"/>
      <c r="C138" s="23"/>
      <c r="F138" s="24"/>
      <c r="G138" s="23"/>
      <c r="J138" s="24"/>
      <c r="K138" s="23"/>
    </row>
    <row r="139" ht="15.75" customHeight="1">
      <c r="B139" s="24"/>
      <c r="C139" s="23"/>
      <c r="F139" s="24"/>
      <c r="G139" s="23"/>
      <c r="J139" s="24"/>
      <c r="K139" s="23"/>
    </row>
    <row r="140" ht="15.75" customHeight="1">
      <c r="B140" s="24"/>
      <c r="C140" s="23"/>
      <c r="F140" s="24"/>
      <c r="G140" s="23"/>
      <c r="J140" s="24"/>
      <c r="K140" s="23"/>
    </row>
    <row r="141" ht="15.75" customHeight="1">
      <c r="B141" s="24"/>
      <c r="C141" s="23"/>
      <c r="F141" s="24"/>
      <c r="G141" s="23"/>
      <c r="J141" s="24"/>
      <c r="K141" s="23"/>
    </row>
    <row r="142" ht="15.75" customHeight="1">
      <c r="B142" s="24"/>
      <c r="C142" s="23"/>
      <c r="F142" s="24"/>
      <c r="G142" s="23"/>
      <c r="J142" s="24"/>
      <c r="K142" s="23"/>
    </row>
    <row r="143" ht="15.75" customHeight="1">
      <c r="B143" s="24"/>
      <c r="C143" s="23"/>
      <c r="F143" s="24"/>
      <c r="G143" s="23"/>
      <c r="J143" s="24"/>
      <c r="K143" s="23"/>
    </row>
    <row r="144" ht="15.75" customHeight="1">
      <c r="B144" s="24"/>
      <c r="C144" s="23"/>
      <c r="F144" s="24"/>
      <c r="G144" s="23"/>
      <c r="J144" s="24"/>
      <c r="K144" s="23"/>
    </row>
    <row r="145" ht="15.75" customHeight="1">
      <c r="B145" s="24"/>
      <c r="C145" s="23"/>
      <c r="F145" s="24"/>
      <c r="G145" s="23"/>
      <c r="J145" s="24"/>
      <c r="K145" s="23"/>
    </row>
    <row r="146" ht="15.75" customHeight="1">
      <c r="B146" s="24"/>
      <c r="C146" s="23"/>
      <c r="F146" s="24"/>
      <c r="G146" s="23"/>
      <c r="J146" s="24"/>
      <c r="K146" s="23"/>
    </row>
    <row r="147" ht="15.75" customHeight="1">
      <c r="B147" s="24"/>
      <c r="C147" s="23"/>
      <c r="F147" s="24"/>
      <c r="G147" s="23"/>
      <c r="J147" s="24"/>
      <c r="K147" s="23"/>
    </row>
    <row r="148" ht="15.75" customHeight="1">
      <c r="B148" s="24"/>
      <c r="C148" s="23"/>
      <c r="F148" s="24"/>
      <c r="G148" s="23"/>
      <c r="J148" s="24"/>
      <c r="K148" s="23"/>
    </row>
    <row r="149" ht="15.75" customHeight="1">
      <c r="B149" s="24"/>
      <c r="C149" s="23"/>
      <c r="F149" s="24"/>
      <c r="G149" s="23"/>
      <c r="J149" s="24"/>
      <c r="K149" s="23"/>
    </row>
    <row r="150" ht="15.75" customHeight="1">
      <c r="B150" s="24"/>
      <c r="C150" s="23"/>
      <c r="F150" s="24"/>
      <c r="G150" s="23"/>
      <c r="J150" s="24"/>
      <c r="K150" s="23"/>
    </row>
    <row r="151" ht="15.75" customHeight="1">
      <c r="B151" s="24"/>
      <c r="C151" s="23"/>
      <c r="F151" s="24"/>
      <c r="G151" s="23"/>
      <c r="J151" s="24"/>
      <c r="K151" s="23"/>
    </row>
    <row r="152" ht="15.75" customHeight="1">
      <c r="B152" s="24"/>
      <c r="C152" s="23"/>
      <c r="F152" s="24"/>
      <c r="G152" s="23"/>
      <c r="J152" s="24"/>
      <c r="K152" s="23"/>
    </row>
    <row r="153" ht="15.75" customHeight="1">
      <c r="B153" s="24"/>
      <c r="C153" s="23"/>
      <c r="F153" s="24"/>
      <c r="G153" s="23"/>
      <c r="J153" s="24"/>
      <c r="K153" s="23"/>
    </row>
    <row r="154" ht="15.75" customHeight="1">
      <c r="B154" s="24"/>
      <c r="C154" s="23"/>
      <c r="F154" s="24"/>
      <c r="G154" s="23"/>
      <c r="J154" s="24"/>
      <c r="K154" s="23"/>
    </row>
    <row r="155" ht="15.75" customHeight="1">
      <c r="B155" s="24"/>
      <c r="C155" s="23"/>
      <c r="F155" s="24"/>
      <c r="G155" s="23"/>
      <c r="J155" s="24"/>
      <c r="K155" s="23"/>
    </row>
    <row r="156" ht="15.75" customHeight="1">
      <c r="B156" s="24"/>
      <c r="C156" s="23"/>
      <c r="F156" s="24"/>
      <c r="G156" s="23"/>
      <c r="J156" s="24"/>
      <c r="K156" s="23"/>
    </row>
    <row r="157" ht="15.75" customHeight="1">
      <c r="B157" s="24"/>
      <c r="C157" s="23"/>
      <c r="F157" s="24"/>
      <c r="G157" s="23"/>
      <c r="J157" s="24"/>
      <c r="K157" s="23"/>
    </row>
    <row r="158" ht="15.75" customHeight="1">
      <c r="B158" s="24"/>
      <c r="C158" s="23"/>
      <c r="F158" s="24"/>
      <c r="G158" s="23"/>
      <c r="J158" s="24"/>
      <c r="K158" s="23"/>
    </row>
    <row r="159" ht="15.75" customHeight="1">
      <c r="B159" s="24"/>
      <c r="C159" s="23"/>
      <c r="F159" s="24"/>
      <c r="G159" s="23"/>
      <c r="J159" s="24"/>
      <c r="K159" s="23"/>
    </row>
    <row r="160" ht="15.75" customHeight="1">
      <c r="B160" s="24"/>
      <c r="C160" s="23"/>
      <c r="F160" s="24"/>
      <c r="G160" s="23"/>
      <c r="J160" s="24"/>
      <c r="K160" s="23"/>
    </row>
    <row r="161" ht="15.75" customHeight="1">
      <c r="B161" s="24"/>
      <c r="C161" s="23"/>
      <c r="F161" s="24"/>
      <c r="G161" s="23"/>
      <c r="J161" s="24"/>
      <c r="K161" s="23"/>
    </row>
    <row r="162" ht="15.75" customHeight="1">
      <c r="B162" s="24"/>
      <c r="C162" s="23"/>
      <c r="F162" s="24"/>
      <c r="G162" s="23"/>
      <c r="J162" s="24"/>
      <c r="K162" s="23"/>
    </row>
    <row r="163" ht="15.75" customHeight="1">
      <c r="B163" s="24"/>
      <c r="C163" s="23"/>
      <c r="F163" s="24"/>
      <c r="G163" s="23"/>
      <c r="J163" s="24"/>
      <c r="K163" s="23"/>
    </row>
    <row r="164" ht="15.75" customHeight="1">
      <c r="B164" s="24"/>
      <c r="C164" s="23"/>
      <c r="F164" s="24"/>
      <c r="G164" s="23"/>
      <c r="J164" s="24"/>
      <c r="K164" s="23"/>
    </row>
    <row r="165" ht="15.75" customHeight="1">
      <c r="B165" s="24"/>
      <c r="C165" s="23"/>
      <c r="F165" s="24"/>
      <c r="G165" s="23"/>
      <c r="J165" s="24"/>
      <c r="K165" s="23"/>
    </row>
    <row r="166" ht="15.75" customHeight="1">
      <c r="B166" s="24"/>
      <c r="C166" s="23"/>
      <c r="F166" s="24"/>
      <c r="G166" s="23"/>
      <c r="J166" s="24"/>
      <c r="K166" s="23"/>
    </row>
    <row r="167" ht="15.75" customHeight="1">
      <c r="B167" s="24"/>
      <c r="C167" s="23"/>
      <c r="F167" s="24"/>
      <c r="G167" s="23"/>
      <c r="J167" s="24"/>
      <c r="K167" s="23"/>
    </row>
    <row r="168" ht="15.75" customHeight="1">
      <c r="B168" s="24"/>
      <c r="C168" s="23"/>
      <c r="F168" s="24"/>
      <c r="G168" s="23"/>
      <c r="J168" s="24"/>
      <c r="K168" s="23"/>
    </row>
    <row r="169" ht="15.75" customHeight="1">
      <c r="B169" s="24"/>
      <c r="C169" s="23"/>
      <c r="F169" s="24"/>
      <c r="G169" s="23"/>
      <c r="J169" s="24"/>
      <c r="K169" s="23"/>
    </row>
    <row r="170" ht="15.75" customHeight="1">
      <c r="B170" s="24"/>
      <c r="C170" s="23"/>
      <c r="F170" s="24"/>
      <c r="G170" s="23"/>
      <c r="J170" s="24"/>
      <c r="K170" s="23"/>
    </row>
    <row r="171" ht="15.75" customHeight="1">
      <c r="B171" s="24"/>
      <c r="C171" s="23"/>
      <c r="F171" s="24"/>
      <c r="G171" s="23"/>
      <c r="J171" s="24"/>
      <c r="K171" s="23"/>
    </row>
    <row r="172" ht="15.75" customHeight="1">
      <c r="B172" s="24"/>
      <c r="C172" s="23"/>
      <c r="F172" s="24"/>
      <c r="G172" s="23"/>
      <c r="J172" s="24"/>
      <c r="K172" s="23"/>
    </row>
    <row r="173" ht="15.75" customHeight="1">
      <c r="B173" s="24"/>
      <c r="C173" s="23"/>
      <c r="F173" s="24"/>
      <c r="G173" s="23"/>
      <c r="J173" s="24"/>
      <c r="K173" s="23"/>
    </row>
    <row r="174" ht="15.75" customHeight="1">
      <c r="B174" s="24"/>
      <c r="C174" s="23"/>
      <c r="F174" s="24"/>
      <c r="G174" s="23"/>
      <c r="J174" s="24"/>
      <c r="K174" s="23"/>
    </row>
    <row r="175" ht="15.75" customHeight="1">
      <c r="B175" s="24"/>
      <c r="C175" s="23"/>
      <c r="F175" s="24"/>
      <c r="G175" s="23"/>
      <c r="J175" s="24"/>
      <c r="K175" s="23"/>
    </row>
    <row r="176" ht="15.75" customHeight="1">
      <c r="B176" s="24"/>
      <c r="C176" s="23"/>
      <c r="F176" s="24"/>
      <c r="G176" s="23"/>
      <c r="J176" s="24"/>
      <c r="K176" s="23"/>
    </row>
    <row r="177" ht="15.75" customHeight="1">
      <c r="B177" s="24"/>
      <c r="C177" s="23"/>
      <c r="F177" s="24"/>
      <c r="G177" s="23"/>
      <c r="J177" s="24"/>
      <c r="K177" s="23"/>
    </row>
    <row r="178" ht="15.75" customHeight="1">
      <c r="B178" s="24"/>
      <c r="C178" s="23"/>
      <c r="F178" s="24"/>
      <c r="G178" s="23"/>
      <c r="J178" s="24"/>
      <c r="K178" s="23"/>
    </row>
    <row r="179" ht="15.75" customHeight="1">
      <c r="B179" s="24"/>
      <c r="C179" s="23"/>
      <c r="F179" s="24"/>
      <c r="G179" s="23"/>
      <c r="J179" s="24"/>
      <c r="K179" s="23"/>
    </row>
    <row r="180" ht="15.75" customHeight="1">
      <c r="B180" s="24"/>
      <c r="C180" s="23"/>
      <c r="F180" s="24"/>
      <c r="G180" s="23"/>
      <c r="J180" s="24"/>
      <c r="K180" s="23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</row>
    <row r="216" ht="15.75" customHeight="1">
      <c r="B216" s="24"/>
      <c r="C216" s="23"/>
      <c r="F216" s="24"/>
      <c r="G216" s="23"/>
      <c r="J216" s="24"/>
      <c r="K216" s="23"/>
    </row>
    <row r="217" ht="15.75" customHeight="1">
      <c r="B217" s="24"/>
      <c r="C217" s="23"/>
      <c r="F217" s="24"/>
      <c r="G217" s="23"/>
      <c r="J217" s="24"/>
      <c r="K217" s="23"/>
    </row>
    <row r="218" ht="15.75" customHeight="1">
      <c r="B218" s="24"/>
      <c r="C218" s="23"/>
      <c r="F218" s="24"/>
      <c r="G218" s="23"/>
      <c r="J218" s="24"/>
      <c r="K218" s="23"/>
    </row>
    <row r="219" ht="15.75" customHeight="1">
      <c r="B219" s="24"/>
      <c r="C219" s="23"/>
      <c r="F219" s="24"/>
      <c r="G219" s="23"/>
      <c r="J219" s="24"/>
      <c r="K219" s="23"/>
    </row>
    <row r="220" ht="15.75" customHeight="1">
      <c r="B220" s="24"/>
      <c r="C220" s="23"/>
      <c r="F220" s="24"/>
      <c r="G220" s="23"/>
      <c r="J220" s="24"/>
      <c r="K220" s="23"/>
    </row>
    <row r="221" ht="15.75" customHeight="1">
      <c r="B221" s="24"/>
      <c r="C221" s="23"/>
      <c r="F221" s="24"/>
      <c r="G221" s="23"/>
      <c r="J221" s="24"/>
      <c r="K221" s="23"/>
    </row>
    <row r="222" ht="15.75" customHeight="1">
      <c r="B222" s="24"/>
      <c r="C222" s="23"/>
      <c r="F222" s="24"/>
      <c r="G222" s="23"/>
      <c r="J222" s="24"/>
      <c r="K222" s="23"/>
    </row>
    <row r="223" ht="15.75" customHeight="1">
      <c r="B223" s="24"/>
      <c r="C223" s="23"/>
      <c r="F223" s="24"/>
      <c r="G223" s="23"/>
      <c r="J223" s="24"/>
      <c r="K223" s="23"/>
    </row>
    <row r="224" ht="15.75" customHeight="1">
      <c r="B224" s="24"/>
      <c r="C224" s="23"/>
      <c r="F224" s="24"/>
      <c r="G224" s="23"/>
      <c r="J224" s="24"/>
      <c r="K224" s="23"/>
    </row>
    <row r="225" ht="15.75" customHeight="1">
      <c r="B225" s="24"/>
      <c r="C225" s="23"/>
      <c r="F225" s="24"/>
      <c r="G225" s="23"/>
      <c r="J225" s="24"/>
      <c r="K225" s="23"/>
    </row>
    <row r="226" ht="15.75" customHeight="1">
      <c r="B226" s="24"/>
      <c r="C226" s="23"/>
      <c r="F226" s="24"/>
      <c r="G226" s="23"/>
      <c r="J226" s="24"/>
      <c r="K226" s="23"/>
    </row>
    <row r="227" ht="15.75" customHeight="1">
      <c r="B227" s="24"/>
      <c r="C227" s="23"/>
      <c r="F227" s="24"/>
      <c r="G227" s="23"/>
      <c r="J227" s="24"/>
      <c r="K227" s="23"/>
    </row>
    <row r="228" ht="15.75" customHeight="1">
      <c r="B228" s="24"/>
      <c r="C228" s="23"/>
      <c r="F228" s="24"/>
      <c r="G228" s="23"/>
      <c r="J228" s="24"/>
      <c r="K228" s="23"/>
    </row>
    <row r="229" ht="15.75" customHeight="1">
      <c r="B229" s="24"/>
      <c r="C229" s="23"/>
      <c r="F229" s="24"/>
      <c r="G229" s="23"/>
      <c r="J229" s="24"/>
      <c r="K229" s="23"/>
    </row>
    <row r="230" ht="15.75" customHeight="1">
      <c r="B230" s="24"/>
      <c r="C230" s="23"/>
      <c r="F230" s="24"/>
      <c r="G230" s="23"/>
      <c r="J230" s="24"/>
      <c r="K230" s="23"/>
    </row>
    <row r="231" ht="15.75" customHeight="1">
      <c r="B231" s="24"/>
      <c r="C231" s="23"/>
      <c r="F231" s="24"/>
      <c r="G231" s="23"/>
      <c r="J231" s="24"/>
      <c r="K231" s="23"/>
    </row>
    <row r="232" ht="15.75" customHeight="1">
      <c r="B232" s="24"/>
      <c r="C232" s="23"/>
      <c r="F232" s="24"/>
      <c r="G232" s="23"/>
      <c r="J232" s="24"/>
      <c r="K232" s="23"/>
    </row>
    <row r="233" ht="15.75" customHeight="1">
      <c r="B233" s="24"/>
      <c r="C233" s="23"/>
      <c r="F233" s="24"/>
      <c r="G233" s="23"/>
      <c r="J233" s="24"/>
      <c r="K233" s="23"/>
    </row>
    <row r="234" ht="15.75" customHeight="1">
      <c r="B234" s="24"/>
      <c r="C234" s="23"/>
      <c r="F234" s="24"/>
      <c r="G234" s="23"/>
      <c r="J234" s="24"/>
      <c r="K234" s="23"/>
    </row>
    <row r="235" ht="15.75" customHeight="1">
      <c r="B235" s="24"/>
      <c r="C235" s="23"/>
      <c r="F235" s="24"/>
      <c r="G235" s="23"/>
      <c r="J235" s="24"/>
      <c r="K235" s="23"/>
    </row>
    <row r="236" ht="15.75" customHeight="1">
      <c r="B236" s="24"/>
      <c r="C236" s="23"/>
      <c r="F236" s="24"/>
      <c r="G236" s="23"/>
      <c r="J236" s="24"/>
      <c r="K236" s="23"/>
    </row>
    <row r="237" ht="15.75" customHeight="1">
      <c r="B237" s="24"/>
      <c r="C237" s="23"/>
      <c r="F237" s="24"/>
      <c r="G237" s="23"/>
      <c r="J237" s="24"/>
      <c r="K237" s="23"/>
    </row>
    <row r="238" ht="15.75" customHeight="1">
      <c r="B238" s="24"/>
      <c r="C238" s="23"/>
      <c r="F238" s="24"/>
      <c r="G238" s="23"/>
      <c r="J238" s="24"/>
      <c r="K238" s="23"/>
    </row>
    <row r="239" ht="15.75" customHeight="1">
      <c r="B239" s="24"/>
      <c r="C239" s="23"/>
      <c r="F239" s="24"/>
      <c r="G239" s="23"/>
      <c r="J239" s="24"/>
      <c r="K239" s="23"/>
    </row>
    <row r="240" ht="15.75" customHeight="1">
      <c r="B240" s="24"/>
      <c r="C240" s="23"/>
      <c r="F240" s="24"/>
      <c r="G240" s="23"/>
      <c r="J240" s="24"/>
      <c r="K240" s="23"/>
    </row>
    <row r="241" ht="15.75" customHeight="1">
      <c r="B241" s="24"/>
      <c r="C241" s="23"/>
      <c r="F241" s="24"/>
      <c r="G241" s="23"/>
      <c r="J241" s="24"/>
      <c r="K241" s="23"/>
    </row>
    <row r="242" ht="15.75" customHeight="1">
      <c r="B242" s="24"/>
      <c r="C242" s="23"/>
      <c r="F242" s="24"/>
      <c r="G242" s="23"/>
      <c r="J242" s="24"/>
      <c r="K242" s="23"/>
    </row>
    <row r="243" ht="15.75" customHeight="1">
      <c r="B243" s="24"/>
      <c r="C243" s="23"/>
      <c r="F243" s="24"/>
      <c r="G243" s="23"/>
      <c r="J243" s="24"/>
      <c r="K243" s="23"/>
    </row>
    <row r="244" ht="15.75" customHeight="1">
      <c r="B244" s="24"/>
      <c r="C244" s="23"/>
      <c r="F244" s="24"/>
      <c r="G244" s="23"/>
      <c r="J244" s="24"/>
      <c r="K244" s="23"/>
    </row>
    <row r="245" ht="15.75" customHeight="1">
      <c r="B245" s="24"/>
      <c r="C245" s="23"/>
      <c r="F245" s="24"/>
      <c r="G245" s="23"/>
      <c r="J245" s="24"/>
      <c r="K245" s="23"/>
    </row>
    <row r="246" ht="15.75" customHeight="1">
      <c r="B246" s="24"/>
      <c r="C246" s="23"/>
      <c r="F246" s="24"/>
      <c r="G246" s="23"/>
      <c r="J246" s="24"/>
      <c r="K246" s="23"/>
    </row>
    <row r="247" ht="15.75" customHeight="1">
      <c r="B247" s="24"/>
      <c r="C247" s="23"/>
      <c r="F247" s="24"/>
      <c r="G247" s="23"/>
      <c r="J247" s="24"/>
      <c r="K247" s="23"/>
    </row>
    <row r="248" ht="15.75" customHeight="1">
      <c r="B248" s="24"/>
      <c r="C248" s="23"/>
      <c r="F248" s="24"/>
      <c r="G248" s="23"/>
      <c r="J248" s="24"/>
      <c r="K248" s="23"/>
    </row>
    <row r="249" ht="15.75" customHeight="1">
      <c r="B249" s="24"/>
      <c r="C249" s="23"/>
      <c r="F249" s="24"/>
      <c r="G249" s="23"/>
      <c r="J249" s="24"/>
      <c r="K249" s="23"/>
    </row>
    <row r="250" ht="15.75" customHeight="1">
      <c r="B250" s="24"/>
      <c r="C250" s="23"/>
      <c r="F250" s="24"/>
      <c r="G250" s="23"/>
      <c r="J250" s="24"/>
      <c r="K250" s="23"/>
    </row>
    <row r="251" ht="15.75" customHeight="1">
      <c r="B251" s="24"/>
      <c r="C251" s="23"/>
      <c r="F251" s="24"/>
      <c r="G251" s="23"/>
      <c r="J251" s="24"/>
      <c r="K251" s="23"/>
    </row>
    <row r="252" ht="15.75" customHeight="1">
      <c r="B252" s="24"/>
      <c r="C252" s="23"/>
      <c r="F252" s="24"/>
      <c r="G252" s="23"/>
      <c r="J252" s="24"/>
      <c r="K252" s="23"/>
    </row>
    <row r="253" ht="15.75" customHeight="1">
      <c r="B253" s="24"/>
      <c r="C253" s="23"/>
      <c r="F253" s="24"/>
      <c r="G253" s="23"/>
      <c r="J253" s="24"/>
      <c r="K253" s="23"/>
    </row>
    <row r="254" ht="15.75" customHeight="1">
      <c r="B254" s="24"/>
      <c r="C254" s="23"/>
      <c r="F254" s="24"/>
      <c r="G254" s="23"/>
      <c r="J254" s="24"/>
      <c r="K254" s="23"/>
    </row>
    <row r="255" ht="15.75" customHeight="1">
      <c r="B255" s="24"/>
      <c r="C255" s="23"/>
      <c r="F255" s="24"/>
      <c r="G255" s="23"/>
      <c r="J255" s="24"/>
      <c r="K255" s="23"/>
    </row>
    <row r="256" ht="15.75" customHeight="1">
      <c r="B256" s="24"/>
      <c r="C256" s="23"/>
      <c r="F256" s="24"/>
      <c r="G256" s="23"/>
      <c r="J256" s="24"/>
      <c r="K256" s="23"/>
    </row>
    <row r="257" ht="15.75" customHeight="1">
      <c r="B257" s="24"/>
      <c r="C257" s="23"/>
      <c r="F257" s="24"/>
      <c r="G257" s="23"/>
      <c r="J257" s="24"/>
      <c r="K257" s="23"/>
    </row>
    <row r="258" ht="15.75" customHeight="1">
      <c r="B258" s="24"/>
      <c r="C258" s="23"/>
      <c r="F258" s="24"/>
      <c r="G258" s="23"/>
      <c r="J258" s="24"/>
      <c r="K258" s="23"/>
    </row>
    <row r="259" ht="15.75" customHeight="1">
      <c r="B259" s="24"/>
      <c r="C259" s="23"/>
      <c r="F259" s="24"/>
      <c r="G259" s="23"/>
      <c r="J259" s="24"/>
      <c r="K259" s="23"/>
    </row>
    <row r="260" ht="15.75" customHeight="1">
      <c r="B260" s="24"/>
      <c r="C260" s="23"/>
      <c r="F260" s="24"/>
      <c r="G260" s="23"/>
      <c r="J260" s="24"/>
      <c r="K260" s="23"/>
    </row>
    <row r="261" ht="15.75" customHeight="1">
      <c r="B261" s="24"/>
      <c r="C261" s="23"/>
      <c r="F261" s="24"/>
      <c r="G261" s="23"/>
      <c r="J261" s="24"/>
      <c r="K261" s="23"/>
    </row>
    <row r="262" ht="15.75" customHeight="1">
      <c r="B262" s="24"/>
      <c r="C262" s="23"/>
      <c r="F262" s="24"/>
      <c r="G262" s="23"/>
      <c r="J262" s="24"/>
      <c r="K262" s="23"/>
    </row>
    <row r="263" ht="15.75" customHeight="1">
      <c r="B263" s="24"/>
      <c r="C263" s="23"/>
      <c r="F263" s="24"/>
      <c r="G263" s="23"/>
      <c r="J263" s="24"/>
      <c r="K263" s="23"/>
    </row>
    <row r="264" ht="15.75" customHeight="1">
      <c r="B264" s="24"/>
      <c r="C264" s="23"/>
      <c r="F264" s="24"/>
      <c r="G264" s="23"/>
      <c r="J264" s="24"/>
      <c r="K264" s="23"/>
    </row>
    <row r="265" ht="15.75" customHeight="1">
      <c r="B265" s="24"/>
      <c r="C265" s="23"/>
      <c r="F265" s="24"/>
      <c r="G265" s="23"/>
      <c r="J265" s="24"/>
      <c r="K265" s="23"/>
    </row>
    <row r="266" ht="15.75" customHeight="1">
      <c r="B266" s="24"/>
      <c r="C266" s="23"/>
      <c r="F266" s="24"/>
      <c r="G266" s="23"/>
      <c r="J266" s="24"/>
      <c r="K266" s="23"/>
    </row>
    <row r="267" ht="15.75" customHeight="1">
      <c r="B267" s="24"/>
      <c r="C267" s="23"/>
      <c r="F267" s="24"/>
      <c r="G267" s="23"/>
      <c r="J267" s="24"/>
      <c r="K267" s="23"/>
    </row>
    <row r="268" ht="15.75" customHeight="1">
      <c r="B268" s="24"/>
      <c r="C268" s="23"/>
      <c r="F268" s="24"/>
      <c r="G268" s="23"/>
      <c r="J268" s="24"/>
      <c r="K268" s="23"/>
    </row>
    <row r="269" ht="15.75" customHeight="1">
      <c r="B269" s="24"/>
      <c r="C269" s="23"/>
      <c r="F269" s="24"/>
      <c r="G269" s="23"/>
      <c r="J269" s="24"/>
      <c r="K269" s="23"/>
    </row>
    <row r="270" ht="15.75" customHeight="1">
      <c r="B270" s="24"/>
      <c r="C270" s="23"/>
      <c r="F270" s="24"/>
      <c r="G270" s="23"/>
      <c r="J270" s="24"/>
      <c r="K270" s="23"/>
    </row>
    <row r="271" ht="15.75" customHeight="1">
      <c r="B271" s="24"/>
      <c r="C271" s="23"/>
      <c r="F271" s="24"/>
      <c r="G271" s="23"/>
      <c r="J271" s="24"/>
      <c r="K271" s="23"/>
    </row>
    <row r="272" ht="15.75" customHeight="1">
      <c r="B272" s="24"/>
      <c r="C272" s="23"/>
      <c r="F272" s="24"/>
      <c r="G272" s="23"/>
      <c r="J272" s="24"/>
      <c r="K272" s="23"/>
    </row>
    <row r="273" ht="15.75" customHeight="1">
      <c r="B273" s="24"/>
      <c r="C273" s="23"/>
      <c r="F273" s="24"/>
      <c r="G273" s="23"/>
      <c r="J273" s="24"/>
      <c r="K273" s="23"/>
    </row>
    <row r="274" ht="15.75" customHeight="1">
      <c r="B274" s="24"/>
      <c r="C274" s="23"/>
      <c r="F274" s="24"/>
      <c r="G274" s="23"/>
      <c r="J274" s="24"/>
      <c r="K274" s="23"/>
    </row>
    <row r="275" ht="15.75" customHeight="1">
      <c r="B275" s="24"/>
      <c r="C275" s="23"/>
      <c r="F275" s="24"/>
      <c r="G275" s="23"/>
      <c r="J275" s="24"/>
      <c r="K275" s="23"/>
    </row>
    <row r="276" ht="15.75" customHeight="1">
      <c r="B276" s="24"/>
      <c r="C276" s="23"/>
      <c r="F276" s="24"/>
      <c r="G276" s="23"/>
      <c r="J276" s="24"/>
      <c r="K276" s="23"/>
    </row>
    <row r="277" ht="15.75" customHeight="1">
      <c r="B277" s="24"/>
      <c r="C277" s="23"/>
      <c r="F277" s="24"/>
      <c r="G277" s="23"/>
      <c r="J277" s="24"/>
      <c r="K277" s="23"/>
    </row>
    <row r="278" ht="15.75" customHeight="1">
      <c r="B278" s="24"/>
      <c r="C278" s="23"/>
      <c r="F278" s="24"/>
      <c r="G278" s="23"/>
      <c r="J278" s="24"/>
      <c r="K278" s="23"/>
    </row>
    <row r="279" ht="15.75" customHeight="1">
      <c r="B279" s="24"/>
      <c r="C279" s="23"/>
      <c r="F279" s="24"/>
      <c r="G279" s="23"/>
      <c r="J279" s="24"/>
      <c r="K279" s="23"/>
    </row>
    <row r="280" ht="15.75" customHeight="1">
      <c r="B280" s="24"/>
      <c r="C280" s="23"/>
      <c r="F280" s="24"/>
      <c r="G280" s="23"/>
      <c r="J280" s="24"/>
      <c r="K280" s="23"/>
    </row>
    <row r="281" ht="15.75" customHeight="1">
      <c r="B281" s="24"/>
      <c r="C281" s="23"/>
      <c r="F281" s="24"/>
      <c r="G281" s="23"/>
      <c r="J281" s="24"/>
      <c r="K281" s="23"/>
    </row>
    <row r="282" ht="15.75" customHeight="1">
      <c r="B282" s="24"/>
      <c r="C282" s="23"/>
      <c r="F282" s="24"/>
      <c r="G282" s="23"/>
      <c r="J282" s="24"/>
      <c r="K282" s="23"/>
    </row>
    <row r="283" ht="15.75" customHeight="1">
      <c r="B283" s="24"/>
      <c r="C283" s="23"/>
      <c r="F283" s="24"/>
      <c r="G283" s="23"/>
      <c r="J283" s="24"/>
      <c r="K283" s="23"/>
    </row>
    <row r="284" ht="15.75" customHeight="1">
      <c r="B284" s="24"/>
      <c r="C284" s="23"/>
      <c r="F284" s="24"/>
      <c r="G284" s="23"/>
      <c r="J284" s="24"/>
      <c r="K284" s="23"/>
    </row>
    <row r="285" ht="15.75" customHeight="1">
      <c r="B285" s="24"/>
      <c r="C285" s="23"/>
      <c r="F285" s="24"/>
      <c r="G285" s="23"/>
      <c r="J285" s="24"/>
      <c r="K285" s="23"/>
    </row>
    <row r="286" ht="15.75" customHeight="1">
      <c r="B286" s="24"/>
      <c r="C286" s="23"/>
      <c r="F286" s="24"/>
      <c r="G286" s="23"/>
      <c r="J286" s="24"/>
      <c r="K286" s="23"/>
    </row>
    <row r="287" ht="15.75" customHeight="1">
      <c r="B287" s="24"/>
      <c r="C287" s="23"/>
      <c r="F287" s="24"/>
      <c r="G287" s="23"/>
      <c r="J287" s="24"/>
      <c r="K287" s="23"/>
    </row>
    <row r="288" ht="15.75" customHeight="1">
      <c r="B288" s="24"/>
      <c r="C288" s="23"/>
      <c r="F288" s="24"/>
      <c r="G288" s="23"/>
      <c r="J288" s="24"/>
      <c r="K288" s="23"/>
    </row>
    <row r="289" ht="15.75" customHeight="1">
      <c r="B289" s="24"/>
      <c r="C289" s="23"/>
      <c r="F289" s="24"/>
      <c r="G289" s="23"/>
      <c r="J289" s="24"/>
      <c r="K289" s="23"/>
    </row>
    <row r="290" ht="15.75" customHeight="1">
      <c r="B290" s="24"/>
      <c r="C290" s="23"/>
      <c r="F290" s="24"/>
      <c r="G290" s="23"/>
      <c r="J290" s="24"/>
      <c r="K290" s="23"/>
    </row>
    <row r="291" ht="15.75" customHeight="1">
      <c r="B291" s="24"/>
      <c r="C291" s="23"/>
      <c r="F291" s="24"/>
      <c r="G291" s="23"/>
      <c r="J291" s="24"/>
      <c r="K291" s="23"/>
    </row>
    <row r="292" ht="15.75" customHeight="1">
      <c r="B292" s="24"/>
      <c r="C292" s="23"/>
      <c r="F292" s="24"/>
      <c r="G292" s="23"/>
      <c r="J292" s="24"/>
      <c r="K292" s="23"/>
    </row>
    <row r="293" ht="15.75" customHeight="1">
      <c r="B293" s="24"/>
      <c r="C293" s="23"/>
      <c r="F293" s="24"/>
      <c r="G293" s="23"/>
      <c r="J293" s="24"/>
      <c r="K293" s="23"/>
    </row>
    <row r="294" ht="15.75" customHeight="1">
      <c r="B294" s="24"/>
      <c r="C294" s="23"/>
      <c r="F294" s="24"/>
      <c r="G294" s="23"/>
      <c r="J294" s="24"/>
      <c r="K294" s="23"/>
    </row>
    <row r="295" ht="15.75" customHeight="1">
      <c r="B295" s="24"/>
      <c r="C295" s="23"/>
      <c r="F295" s="24"/>
      <c r="G295" s="23"/>
      <c r="J295" s="24"/>
      <c r="K295" s="23"/>
    </row>
    <row r="296" ht="15.75" customHeight="1">
      <c r="B296" s="24"/>
      <c r="C296" s="23"/>
      <c r="F296" s="24"/>
      <c r="G296" s="23"/>
      <c r="J296" s="24"/>
      <c r="K296" s="23"/>
    </row>
    <row r="297" ht="15.75" customHeight="1">
      <c r="B297" s="24"/>
      <c r="C297" s="23"/>
      <c r="F297" s="24"/>
      <c r="G297" s="23"/>
      <c r="J297" s="24"/>
      <c r="K297" s="23"/>
    </row>
    <row r="298" ht="15.75" customHeight="1">
      <c r="B298" s="24"/>
      <c r="C298" s="23"/>
      <c r="F298" s="24"/>
      <c r="G298" s="23"/>
      <c r="J298" s="24"/>
      <c r="K298" s="23"/>
    </row>
    <row r="299" ht="15.75" customHeight="1">
      <c r="B299" s="24"/>
      <c r="C299" s="23"/>
      <c r="F299" s="24"/>
      <c r="G299" s="23"/>
      <c r="J299" s="24"/>
      <c r="K299" s="23"/>
    </row>
    <row r="300" ht="15.75" customHeight="1">
      <c r="B300" s="24"/>
      <c r="C300" s="23"/>
      <c r="F300" s="24"/>
      <c r="G300" s="23"/>
      <c r="J300" s="24"/>
      <c r="K300" s="23"/>
    </row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88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67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31" t="str">
        <f t="array" ref="M68">IFERROR(INDEX(Categorias!$A$2:$A$200,63),"")</f>
        <v/>
      </c>
      <c r="N68" s="22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31" t="str">
        <f t="array" ref="M69">IFERROR(INDEX(Categorias!$A$2:$A$200,64),"")</f>
        <v/>
      </c>
      <c r="N69" s="22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31" t="str">
        <f t="array" ref="M70">IFERROR(INDEX(Categorias!$A$2:$A$200,65),"")</f>
        <v/>
      </c>
      <c r="N70" s="22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31" t="str">
        <f t="array" ref="M71">IFERROR(INDEX(Categorias!$A$2:$A$200,66),"")</f>
        <v/>
      </c>
      <c r="N71" s="22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31" t="str">
        <f t="array" ref="M72">IFERROR(INDEX(Categorias!$A$2:$A$200,67),"")</f>
        <v/>
      </c>
      <c r="N72" s="22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31" t="str">
        <f t="array" ref="M73">IFERROR(INDEX(Categorias!$A$2:$A$200,68),"")</f>
        <v/>
      </c>
      <c r="N73" s="22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31" t="str">
        <f t="array" ref="M74">IFERROR(INDEX(Categorias!$A$2:$A$200,69),"")</f>
        <v/>
      </c>
      <c r="N74" s="22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31" t="str">
        <f t="array" ref="M75">IFERROR(INDEX(Categorias!$A$2:$A$200,70),"")</f>
        <v/>
      </c>
      <c r="N75" s="22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31" t="str">
        <f t="array" ref="M76">IFERROR(INDEX(Categorias!$A$2:$A$200,71),"")</f>
        <v/>
      </c>
      <c r="N76" s="22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31" t="str">
        <f t="array" ref="M77">IFERROR(INDEX(Categorias!$A$2:$A$200,72),"")</f>
        <v/>
      </c>
      <c r="N77" s="22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31" t="str">
        <f t="array" ref="M78">IFERROR(INDEX(Categorias!$A$2:$A$200,73),"")</f>
        <v/>
      </c>
      <c r="N78" s="22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31" t="str">
        <f t="array" ref="M79">IFERROR(INDEX(Categorias!$A$2:$A$200,74),"")</f>
        <v/>
      </c>
      <c r="N79" s="22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89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67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90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67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31" t="str">
        <f t="array" ref="M68">IFERROR(INDEX(Categorias!$A$2:$A$200,63),"")</f>
        <v/>
      </c>
      <c r="N68" s="22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31" t="str">
        <f t="array" ref="M69">IFERROR(INDEX(Categorias!$A$2:$A$200,64),"")</f>
        <v/>
      </c>
      <c r="N69" s="22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91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67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92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67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32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93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94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95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94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31" t="str">
        <f t="array" ref="M68">IFERROR(INDEX(Categorias!$A$2:$A$200,63),"")</f>
        <v/>
      </c>
      <c r="N68" s="22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31" t="str">
        <f t="array" ref="M69">IFERROR(INDEX(Categorias!$A$2:$A$200,64),"")</f>
        <v/>
      </c>
      <c r="N69" s="22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31" t="str">
        <f t="array" ref="M70">IFERROR(INDEX(Categorias!$A$2:$A$200,65),"")</f>
        <v/>
      </c>
      <c r="N70" s="22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31" t="str">
        <f t="array" ref="M71">IFERROR(INDEX(Categorias!$A$2:$A$200,66),"")</f>
        <v/>
      </c>
      <c r="N71" s="22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31" t="str">
        <f t="array" ref="M72">IFERROR(INDEX(Categorias!$A$2:$A$200,67),"")</f>
        <v/>
      </c>
      <c r="N72" s="22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31" t="str">
        <f t="array" ref="M73">IFERROR(INDEX(Categorias!$A$2:$A$200,68),"")</f>
        <v/>
      </c>
      <c r="N73" s="22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31" t="str">
        <f t="array" ref="M74">IFERROR(INDEX(Categorias!$A$2:$A$200,69),"")</f>
        <v/>
      </c>
      <c r="N74" s="22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31" t="str">
        <f t="array" ref="M75">IFERROR(INDEX(Categorias!$A$2:$A$200,70),"")</f>
        <v/>
      </c>
      <c r="N75" s="22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31" t="str">
        <f t="array" ref="M76">IFERROR(INDEX(Categorias!$A$2:$A$200,71),"")</f>
        <v/>
      </c>
      <c r="N76" s="22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31" t="str">
        <f t="array" ref="M77">IFERROR(INDEX(Categorias!$A$2:$A$200,72),"")</f>
        <v/>
      </c>
      <c r="N77" s="22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31" t="str">
        <f t="array" ref="M78">IFERROR(INDEX(Categorias!$A$2:$A$200,73),"")</f>
        <v/>
      </c>
      <c r="N78" s="22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31" t="str">
        <f t="array" ref="M79">IFERROR(INDEX(Categorias!$A$2:$A$200,74),"")</f>
        <v/>
      </c>
      <c r="N79" s="22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96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94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31" t="str">
        <f t="array" ref="M68">IFERROR(INDEX(Categorias!$A$2:$A$200,63),"")</f>
        <v/>
      </c>
      <c r="N68" s="22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31" t="str">
        <f t="array" ref="M69">IFERROR(INDEX(Categorias!$A$2:$A$200,64),"")</f>
        <v/>
      </c>
      <c r="N69" s="22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31" t="str">
        <f t="array" ref="M70">IFERROR(INDEX(Categorias!$A$2:$A$200,65),"")</f>
        <v/>
      </c>
      <c r="N70" s="22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31" t="str">
        <f t="array" ref="M71">IFERROR(INDEX(Categorias!$A$2:$A$200,66),"")</f>
        <v/>
      </c>
      <c r="N71" s="22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31" t="str">
        <f t="array" ref="M72">IFERROR(INDEX(Categorias!$A$2:$A$200,67),"")</f>
        <v/>
      </c>
      <c r="N72" s="22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31" t="str">
        <f t="array" ref="M73">IFERROR(INDEX(Categorias!$A$2:$A$200,68),"")</f>
        <v/>
      </c>
      <c r="N73" s="22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31" t="str">
        <f t="array" ref="M74">IFERROR(INDEX(Categorias!$A$2:$A$200,69),"")</f>
        <v/>
      </c>
      <c r="N74" s="22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31" t="str">
        <f t="array" ref="M75">IFERROR(INDEX(Categorias!$A$2:$A$200,70),"")</f>
        <v/>
      </c>
      <c r="N75" s="22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31" t="str">
        <f t="array" ref="M76">IFERROR(INDEX(Categorias!$A$2:$A$200,71),"")</f>
        <v/>
      </c>
      <c r="N76" s="22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31" t="str">
        <f t="array" ref="M77">IFERROR(INDEX(Categorias!$A$2:$A$200,72),"")</f>
        <v/>
      </c>
      <c r="N77" s="22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31" t="str">
        <f t="array" ref="M78">IFERROR(INDEX(Categorias!$A$2:$A$200,73),"")</f>
        <v/>
      </c>
      <c r="N78" s="22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31" t="str">
        <f t="array" ref="M79">IFERROR(INDEX(Categorias!$A$2:$A$200,74),"")</f>
        <v/>
      </c>
      <c r="N79" s="22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31" t="str">
        <f t="array" ref="M80">IFERROR(INDEX(Categorias!$A$2:$A$200,75),"")</f>
        <v/>
      </c>
      <c r="N80" s="22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97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94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98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94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14.0"/>
    <col customWidth="1" min="3" max="3" width="28.0"/>
    <col customWidth="1" min="4" max="4" width="3.0"/>
    <col customWidth="1" min="5" max="5" width="12.0"/>
    <col customWidth="1" min="6" max="6" width="14.0"/>
    <col customWidth="1" min="7" max="7" width="28.0"/>
    <col customWidth="1" min="8" max="8" width="3.0"/>
    <col customWidth="1" min="9" max="9" width="12.0"/>
    <col customWidth="1" min="10" max="10" width="14.0"/>
    <col customWidth="1" min="11" max="11" width="28.0"/>
    <col customWidth="1" min="12" max="12" width="8.63"/>
    <col customWidth="1" min="13" max="13" width="17.75"/>
    <col customWidth="1" min="14" max="15" width="8.63"/>
    <col customWidth="1" min="16" max="16" width="25.5"/>
    <col customWidth="1" min="17" max="18" width="8.63"/>
    <col customWidth="1" min="19" max="19" width="27.88"/>
    <col customWidth="1" min="20" max="20" width="8.63"/>
  </cols>
  <sheetData>
    <row r="1">
      <c r="A1" s="7" t="s">
        <v>99</v>
      </c>
      <c r="O1" s="28"/>
    </row>
    <row r="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O2" s="28"/>
    </row>
    <row r="3" ht="21.75" customHeight="1">
      <c r="A3" s="9" t="s">
        <v>0</v>
      </c>
      <c r="B3" s="10">
        <f>SUM(B7:B300)</f>
        <v>0</v>
      </c>
      <c r="C3" s="8"/>
      <c r="D3" s="8"/>
      <c r="E3" s="11" t="s">
        <v>1</v>
      </c>
      <c r="F3" s="12">
        <f>SUM(F7:F300)</f>
        <v>0</v>
      </c>
      <c r="G3" s="8"/>
      <c r="H3" s="8"/>
      <c r="I3" s="29" t="s">
        <v>2</v>
      </c>
      <c r="J3" s="14">
        <f>SUM(J7:J300)</f>
        <v>0</v>
      </c>
      <c r="K3" s="8"/>
      <c r="M3" s="15" t="s">
        <v>81</v>
      </c>
      <c r="O3" s="28"/>
      <c r="P3" s="15" t="s">
        <v>82</v>
      </c>
      <c r="S3" s="15" t="s">
        <v>83</v>
      </c>
    </row>
    <row r="4">
      <c r="A4" s="9" t="s">
        <v>94</v>
      </c>
      <c r="B4" s="10">
        <f>B3-F3-J3</f>
        <v>0</v>
      </c>
      <c r="C4" s="8"/>
      <c r="D4" s="8"/>
      <c r="E4" s="8"/>
      <c r="F4" s="8"/>
      <c r="G4" s="8"/>
      <c r="H4" s="8"/>
      <c r="I4" s="8"/>
      <c r="J4" s="8"/>
      <c r="K4" s="8"/>
      <c r="O4" s="28"/>
    </row>
    <row r="5">
      <c r="A5" s="16" t="s">
        <v>0</v>
      </c>
      <c r="D5" s="8"/>
      <c r="E5" s="16" t="s">
        <v>1</v>
      </c>
      <c r="H5" s="8"/>
      <c r="I5" s="16" t="s">
        <v>2</v>
      </c>
      <c r="M5" s="17" t="s">
        <v>84</v>
      </c>
      <c r="N5" s="17" t="s">
        <v>85</v>
      </c>
      <c r="O5" s="28"/>
      <c r="P5" s="17" t="s">
        <v>84</v>
      </c>
      <c r="Q5" s="17" t="s">
        <v>85</v>
      </c>
      <c r="S5" s="17" t="s">
        <v>84</v>
      </c>
      <c r="T5" s="17" t="s">
        <v>85</v>
      </c>
    </row>
    <row r="6">
      <c r="A6" s="18" t="s">
        <v>86</v>
      </c>
      <c r="B6" s="18" t="s">
        <v>87</v>
      </c>
      <c r="C6" s="18" t="s">
        <v>84</v>
      </c>
      <c r="D6" s="8"/>
      <c r="E6" s="19" t="s">
        <v>86</v>
      </c>
      <c r="F6" s="19" t="s">
        <v>87</v>
      </c>
      <c r="G6" s="19" t="s">
        <v>84</v>
      </c>
      <c r="H6" s="8"/>
      <c r="I6" s="20" t="s">
        <v>86</v>
      </c>
      <c r="J6" s="20" t="s">
        <v>87</v>
      </c>
      <c r="K6" s="20" t="s">
        <v>84</v>
      </c>
      <c r="M6" s="21" t="str">
        <f t="array" ref="M6">IFERROR(INDEX(Categorias!$A$2:$A$200,1),"")</f>
        <v>💰 Salário</v>
      </c>
      <c r="N6" s="22">
        <f t="shared" ref="N6:N105" si="1">IF(M6="","",SUMIF($C$7:$C$300,M6,$B$7:$B$300))</f>
        <v>0</v>
      </c>
      <c r="O6" s="30"/>
      <c r="P6" s="23" t="str">
        <f t="array" ref="P6">IFERROR(INDEX(Categorias!$B$2:$B$200,1),"")</f>
        <v>🏠 Moradia</v>
      </c>
      <c r="Q6" s="24">
        <f t="shared" ref="Q6:Q105" si="2">IF(P6="","",SUMIF($G$7:$G$300,P6,$F$7:$F$300))</f>
        <v>0</v>
      </c>
      <c r="S6" s="23" t="str">
        <f t="array" ref="S6">IFERROR(INDEX(Categorias!$C$2:$C$200,1),"")</f>
        <v>🍔 Restaurante</v>
      </c>
      <c r="T6" s="24">
        <f t="shared" ref="T6:T105" si="3">IF(S6="","",SUMIF($K$7:$K$300,S6,$J$7:$J$300))</f>
        <v>0</v>
      </c>
    </row>
    <row r="7">
      <c r="A7" s="25"/>
      <c r="B7" s="26"/>
      <c r="C7" s="27"/>
      <c r="D7" s="8"/>
      <c r="E7" s="25"/>
      <c r="F7" s="26"/>
      <c r="G7" s="27"/>
      <c r="H7" s="8"/>
      <c r="I7" s="25"/>
      <c r="J7" s="26"/>
      <c r="K7" s="27"/>
      <c r="M7" s="21" t="str">
        <f t="array" ref="M7">IFERROR(INDEX(Categorias!$A$2:$A$200,2),"")</f>
        <v>💰 Freelance</v>
      </c>
      <c r="N7" s="22">
        <f t="shared" si="1"/>
        <v>0</v>
      </c>
      <c r="O7" s="30"/>
      <c r="P7" s="23" t="str">
        <f t="array" ref="P7">IFERROR(INDEX(Categorias!$B$2:$B$200,2),"")</f>
        <v>🧾 Contas da casa</v>
      </c>
      <c r="Q7" s="24">
        <f t="shared" si="2"/>
        <v>0</v>
      </c>
      <c r="S7" s="23" t="str">
        <f t="array" ref="S7">IFERROR(INDEX(Categorias!$C$2:$C$200,2),"")</f>
        <v>🍕 Lanches</v>
      </c>
      <c r="T7" s="24">
        <f t="shared" si="3"/>
        <v>0</v>
      </c>
    </row>
    <row r="8">
      <c r="A8" s="25"/>
      <c r="B8" s="26"/>
      <c r="C8" s="27"/>
      <c r="D8" s="8"/>
      <c r="E8" s="25"/>
      <c r="F8" s="26"/>
      <c r="G8" s="27"/>
      <c r="H8" s="8"/>
      <c r="I8" s="25"/>
      <c r="J8" s="26"/>
      <c r="K8" s="27"/>
      <c r="M8" s="21" t="str">
        <f t="array" ref="M8">IFERROR(INDEX(Categorias!$A$2:$A$200,3),"")</f>
        <v>💰 Mesada</v>
      </c>
      <c r="N8" s="22">
        <f t="shared" si="1"/>
        <v>0</v>
      </c>
      <c r="O8" s="30"/>
      <c r="P8" s="23" t="str">
        <f t="array" ref="P8">IFERROR(INDEX(Categorias!$B$2:$B$200,3),"")</f>
        <v>💡 Energia</v>
      </c>
      <c r="Q8" s="24">
        <f t="shared" si="2"/>
        <v>0</v>
      </c>
      <c r="S8" s="23" t="str">
        <f t="array" ref="S8">IFERROR(INDEX(Categorias!$C$2:$C$200,3),"")</f>
        <v>☕ Café / Doces</v>
      </c>
      <c r="T8" s="24">
        <f t="shared" si="3"/>
        <v>0</v>
      </c>
    </row>
    <row r="9">
      <c r="A9" s="25"/>
      <c r="B9" s="26"/>
      <c r="C9" s="27"/>
      <c r="D9" s="8"/>
      <c r="E9" s="25"/>
      <c r="F9" s="26"/>
      <c r="G9" s="27"/>
      <c r="H9" s="8"/>
      <c r="I9" s="25"/>
      <c r="J9" s="26"/>
      <c r="K9" s="27"/>
      <c r="M9" s="21" t="str">
        <f t="array" ref="M9">IFERROR(INDEX(Categorias!$A$2:$A$200,4),"")</f>
        <v>💰 Reembolso</v>
      </c>
      <c r="N9" s="22">
        <f t="shared" si="1"/>
        <v>0</v>
      </c>
      <c r="O9" s="30"/>
      <c r="P9" s="23" t="str">
        <f t="array" ref="P9">IFERROR(INDEX(Categorias!$B$2:$B$200,4),"")</f>
        <v>💧 Água</v>
      </c>
      <c r="Q9" s="24">
        <f t="shared" si="2"/>
        <v>0</v>
      </c>
      <c r="S9" s="23" t="str">
        <f t="array" ref="S9">IFERROR(INDEX(Categorias!$C$2:$C$200,4),"")</f>
        <v>🍻 Saídas</v>
      </c>
      <c r="T9" s="24">
        <f t="shared" si="3"/>
        <v>0</v>
      </c>
    </row>
    <row r="10">
      <c r="A10" s="25"/>
      <c r="B10" s="26"/>
      <c r="C10" s="27"/>
      <c r="D10" s="8"/>
      <c r="E10" s="25"/>
      <c r="F10" s="26"/>
      <c r="G10" s="27"/>
      <c r="H10" s="8"/>
      <c r="I10" s="25"/>
      <c r="J10" s="26"/>
      <c r="K10" s="27"/>
      <c r="M10" s="21" t="str">
        <f t="array" ref="M10">IFERROR(INDEX(Categorias!$A$2:$A$200,5),"")</f>
        <v>💰 Venda</v>
      </c>
      <c r="N10" s="22">
        <f t="shared" si="1"/>
        <v>0</v>
      </c>
      <c r="O10" s="30"/>
      <c r="P10" s="23" t="str">
        <f t="array" ref="P10">IFERROR(INDEX(Categorias!$B$2:$B$200,5),"")</f>
        <v>🌐 Internet</v>
      </c>
      <c r="Q10" s="24">
        <f t="shared" si="2"/>
        <v>0</v>
      </c>
      <c r="S10" s="23" t="str">
        <f t="array" ref="S10">IFERROR(INDEX(Categorias!$C$2:$C$200,5),"")</f>
        <v>💪 Academia / Esporte</v>
      </c>
      <c r="T10" s="24">
        <f t="shared" si="3"/>
        <v>0</v>
      </c>
    </row>
    <row r="11">
      <c r="A11" s="25"/>
      <c r="B11" s="26"/>
      <c r="C11" s="27"/>
      <c r="D11" s="8"/>
      <c r="E11" s="25"/>
      <c r="F11" s="26"/>
      <c r="G11" s="27"/>
      <c r="H11" s="8"/>
      <c r="I11" s="25"/>
      <c r="J11" s="26"/>
      <c r="K11" s="27"/>
      <c r="M11" s="21" t="str">
        <f t="array" ref="M11">IFERROR(INDEX(Categorias!$A$2:$A$200,6),"")</f>
        <v>💰 Presente</v>
      </c>
      <c r="N11" s="22">
        <f t="shared" si="1"/>
        <v>0</v>
      </c>
      <c r="O11" s="30"/>
      <c r="P11" s="23" t="str">
        <f t="array" ref="P11">IFERROR(INDEX(Categorias!$B$2:$B$200,6),"")</f>
        <v>📱 Celular</v>
      </c>
      <c r="Q11" s="24">
        <f t="shared" si="2"/>
        <v>0</v>
      </c>
      <c r="S11" s="23" t="str">
        <f t="array" ref="S11">IFERROR(INDEX(Categorias!$C$2:$C$200,6),"")</f>
        <v>👕 Roupas / Calçados</v>
      </c>
      <c r="T11" s="24">
        <f t="shared" si="3"/>
        <v>0</v>
      </c>
    </row>
    <row r="12">
      <c r="A12" s="25"/>
      <c r="B12" s="26"/>
      <c r="C12" s="27"/>
      <c r="D12" s="8"/>
      <c r="E12" s="25"/>
      <c r="F12" s="26"/>
      <c r="G12" s="27"/>
      <c r="H12" s="8"/>
      <c r="I12" s="25"/>
      <c r="J12" s="26"/>
      <c r="K12" s="27"/>
      <c r="M12" s="21" t="str">
        <f t="array" ref="M12">IFERROR(INDEX(Categorias!$A$2:$A$200,7),"")</f>
        <v>💰 Outras receitas</v>
      </c>
      <c r="N12" s="22">
        <f t="shared" si="1"/>
        <v>0</v>
      </c>
      <c r="O12" s="30"/>
      <c r="P12" s="23" t="str">
        <f t="array" ref="P12">IFERROR(INDEX(Categorias!$B$2:$B$200,7),"")</f>
        <v>🛒 Mercado</v>
      </c>
      <c r="Q12" s="24">
        <f t="shared" si="2"/>
        <v>0</v>
      </c>
      <c r="S12" s="23" t="str">
        <f t="array" ref="S12">IFERROR(INDEX(Categorias!$C$2:$C$200,7),"")</f>
        <v>💈 Barbeiro / Beleza</v>
      </c>
      <c r="T12" s="24">
        <f t="shared" si="3"/>
        <v>0</v>
      </c>
    </row>
    <row r="13">
      <c r="A13" s="25"/>
      <c r="B13" s="26"/>
      <c r="C13" s="27"/>
      <c r="D13" s="8"/>
      <c r="E13" s="25"/>
      <c r="F13" s="26"/>
      <c r="G13" s="27"/>
      <c r="H13" s="8"/>
      <c r="I13" s="25"/>
      <c r="J13" s="26"/>
      <c r="K13" s="27"/>
      <c r="M13" s="21" t="str">
        <f t="array" ref="M13">IFERROR(INDEX(Categorias!$A$2:$A$200,8),"")</f>
        <v>💰 Bônus</v>
      </c>
      <c r="N13" s="22">
        <f t="shared" si="1"/>
        <v>0</v>
      </c>
      <c r="O13" s="30"/>
      <c r="P13" s="23" t="str">
        <f t="array" ref="P13">IFERROR(INDEX(Categorias!$B$2:$B$200,8),"")</f>
        <v>🥖 Padaria</v>
      </c>
      <c r="Q13" s="24">
        <f t="shared" si="2"/>
        <v>0</v>
      </c>
      <c r="S13" s="23" t="str">
        <f t="array" ref="S13">IFERROR(INDEX(Categorias!$C$2:$C$200,8),"")</f>
        <v>🧴 Cuidados pessoais</v>
      </c>
      <c r="T13" s="24">
        <f t="shared" si="3"/>
        <v>0</v>
      </c>
    </row>
    <row r="14">
      <c r="A14" s="25"/>
      <c r="B14" s="26"/>
      <c r="C14" s="27"/>
      <c r="D14" s="8"/>
      <c r="E14" s="25"/>
      <c r="F14" s="26"/>
      <c r="G14" s="27"/>
      <c r="H14" s="8"/>
      <c r="I14" s="25"/>
      <c r="J14" s="26"/>
      <c r="K14" s="27"/>
      <c r="M14" s="21" t="str">
        <f t="array" ref="M14">IFERROR(INDEX(Categorias!$A$2:$A$200,9),"")</f>
        <v>💰 Décimo terceiro</v>
      </c>
      <c r="N14" s="22">
        <f t="shared" si="1"/>
        <v>0</v>
      </c>
      <c r="O14" s="30"/>
      <c r="P14" s="23" t="str">
        <f t="array" ref="P14">IFERROR(INDEX(Categorias!$B$2:$B$200,9),"")</f>
        <v>🧼 Limpeza</v>
      </c>
      <c r="Q14" s="24">
        <f t="shared" si="2"/>
        <v>0</v>
      </c>
      <c r="S14" s="23" t="str">
        <f t="array" ref="S14">IFERROR(INDEX(Categorias!$C$2:$C$200,9),"")</f>
        <v>🎮 Lazer</v>
      </c>
      <c r="T14" s="24">
        <f t="shared" si="3"/>
        <v>0</v>
      </c>
    </row>
    <row r="15">
      <c r="A15" s="25"/>
      <c r="B15" s="26"/>
      <c r="C15" s="27"/>
      <c r="D15" s="8"/>
      <c r="E15" s="25"/>
      <c r="F15" s="26"/>
      <c r="G15" s="27"/>
      <c r="H15" s="8"/>
      <c r="I15" s="25"/>
      <c r="J15" s="26"/>
      <c r="K15" s="27"/>
      <c r="M15" s="21" t="str">
        <f t="array" ref="M15">IFERROR(INDEX(Categorias!$A$2:$A$200,10),"")</f>
        <v>💰 Cashback</v>
      </c>
      <c r="N15" s="22">
        <f t="shared" si="1"/>
        <v>0</v>
      </c>
      <c r="O15" s="30"/>
      <c r="P15" s="23" t="str">
        <f t="array" ref="P15">IFERROR(INDEX(Categorias!$B$2:$B$200,10),"")</f>
        <v>🚗 Transporte</v>
      </c>
      <c r="Q15" s="24">
        <f t="shared" si="2"/>
        <v>0</v>
      </c>
      <c r="S15" s="23" t="str">
        <f t="array" ref="S15">IFERROR(INDEX(Categorias!$C$2:$C$200,10),"")</f>
        <v>🎬 Cinema / Show</v>
      </c>
      <c r="T15" s="24">
        <f t="shared" si="3"/>
        <v>0</v>
      </c>
    </row>
    <row r="16">
      <c r="A16" s="25"/>
      <c r="B16" s="26"/>
      <c r="C16" s="27"/>
      <c r="D16" s="8"/>
      <c r="E16" s="25"/>
      <c r="F16" s="26"/>
      <c r="G16" s="27"/>
      <c r="H16" s="8"/>
      <c r="I16" s="25"/>
      <c r="J16" s="26"/>
      <c r="K16" s="27"/>
      <c r="M16" s="21" t="str">
        <f t="array" ref="M16">IFERROR(INDEX(Categorias!$A$2:$A$200,11),"")</f>
        <v>💰 Prêmio</v>
      </c>
      <c r="N16" s="22">
        <f t="shared" si="1"/>
        <v>0</v>
      </c>
      <c r="O16" s="30"/>
      <c r="P16" s="23" t="str">
        <f t="array" ref="P16">IFERROR(INDEX(Categorias!$B$2:$B$200,11),"")</f>
        <v>🚌 Passagem</v>
      </c>
      <c r="Q16" s="24">
        <f t="shared" si="2"/>
        <v>0</v>
      </c>
      <c r="S16" s="23" t="str">
        <f t="array" ref="S16">IFERROR(INDEX(Categorias!$C$2:$C$200,11),"")</f>
        <v>🎁 Presentes</v>
      </c>
      <c r="T16" s="24">
        <f t="shared" si="3"/>
        <v>0</v>
      </c>
    </row>
    <row r="17">
      <c r="A17" s="25"/>
      <c r="B17" s="26"/>
      <c r="C17" s="27"/>
      <c r="D17" s="8"/>
      <c r="E17" s="25"/>
      <c r="F17" s="26"/>
      <c r="G17" s="27"/>
      <c r="H17" s="8"/>
      <c r="I17" s="25"/>
      <c r="J17" s="26"/>
      <c r="K17" s="27"/>
      <c r="M17" s="21" t="str">
        <f t="array" ref="M17">IFERROR(INDEX(Categorias!$A$2:$A$200,12),"")</f>
        <v/>
      </c>
      <c r="N17" s="22" t="str">
        <f t="shared" si="1"/>
        <v/>
      </c>
      <c r="O17" s="30"/>
      <c r="P17" s="23" t="str">
        <f t="array" ref="P17">IFERROR(INDEX(Categorias!$B$2:$B$200,12),"")</f>
        <v>⛽ Combustível</v>
      </c>
      <c r="Q17" s="24">
        <f t="shared" si="2"/>
        <v>0</v>
      </c>
      <c r="S17" s="23" t="str">
        <f t="array" ref="S17">IFERROR(INDEX(Categorias!$C$2:$C$200,12),"")</f>
        <v>🌹 Datas especiais</v>
      </c>
      <c r="T17" s="24">
        <f t="shared" si="3"/>
        <v>0</v>
      </c>
    </row>
    <row r="18">
      <c r="A18" s="25"/>
      <c r="B18" s="26"/>
      <c r="C18" s="27"/>
      <c r="D18" s="8"/>
      <c r="E18" s="25"/>
      <c r="F18" s="26"/>
      <c r="G18" s="27"/>
      <c r="H18" s="8"/>
      <c r="I18" s="25"/>
      <c r="J18" s="26"/>
      <c r="K18" s="27"/>
      <c r="M18" s="21" t="str">
        <f t="array" ref="M18">IFERROR(INDEX(Categorias!$A$2:$A$200,13),"")</f>
        <v/>
      </c>
      <c r="N18" s="22" t="str">
        <f t="shared" si="1"/>
        <v/>
      </c>
      <c r="O18" s="30"/>
      <c r="P18" s="23" t="str">
        <f t="array" ref="P18">IFERROR(INDEX(Categorias!$B$2:$B$200,13),"")</f>
        <v>🅿️ Estacionamento / Pedágio</v>
      </c>
      <c r="Q18" s="24">
        <f t="shared" si="2"/>
        <v>0</v>
      </c>
      <c r="S18" s="23" t="str">
        <f t="array" ref="S18">IFERROR(INDEX(Categorias!$C$2:$C$200,13),"")</f>
        <v>💻 Tecnologia</v>
      </c>
      <c r="T18" s="24">
        <f t="shared" si="3"/>
        <v>0</v>
      </c>
    </row>
    <row r="19">
      <c r="A19" s="25"/>
      <c r="B19" s="26"/>
      <c r="C19" s="27"/>
      <c r="D19" s="8"/>
      <c r="E19" s="25"/>
      <c r="F19" s="26"/>
      <c r="G19" s="27"/>
      <c r="H19" s="8"/>
      <c r="I19" s="25"/>
      <c r="J19" s="26"/>
      <c r="K19" s="27"/>
      <c r="M19" s="21" t="str">
        <f t="array" ref="M19">IFERROR(INDEX(Categorias!$A$2:$A$200,14),"")</f>
        <v/>
      </c>
      <c r="N19" s="22" t="str">
        <f t="shared" si="1"/>
        <v/>
      </c>
      <c r="O19" s="30"/>
      <c r="P19" s="23" t="str">
        <f t="array" ref="P19">IFERROR(INDEX(Categorias!$B$2:$B$200,14),"")</f>
        <v>🔧 Manutenção do carro</v>
      </c>
      <c r="Q19" s="24">
        <f t="shared" si="2"/>
        <v>0</v>
      </c>
      <c r="S19" s="23" t="str">
        <f t="array" ref="S19">IFERROR(INDEX(Categorias!$C$2:$C$200,14),"")</f>
        <v>📱 Assinaturas</v>
      </c>
      <c r="T19" s="24">
        <f t="shared" si="3"/>
        <v>0</v>
      </c>
    </row>
    <row r="20">
      <c r="A20" s="25"/>
      <c r="B20" s="26"/>
      <c r="C20" s="27"/>
      <c r="D20" s="8"/>
      <c r="E20" s="25"/>
      <c r="F20" s="26"/>
      <c r="G20" s="27"/>
      <c r="H20" s="8"/>
      <c r="I20" s="25"/>
      <c r="J20" s="26"/>
      <c r="K20" s="27"/>
      <c r="M20" s="21" t="str">
        <f t="array" ref="M20">IFERROR(INDEX(Categorias!$A$2:$A$200,15),"")</f>
        <v/>
      </c>
      <c r="N20" s="22" t="str">
        <f t="shared" si="1"/>
        <v/>
      </c>
      <c r="O20" s="30"/>
      <c r="P20" s="23" t="str">
        <f t="array" ref="P20">IFERROR(INDEX(Categorias!$B$2:$B$200,15),"")</f>
        <v>🏥 Saúde</v>
      </c>
      <c r="Q20" s="24">
        <f t="shared" si="2"/>
        <v>0</v>
      </c>
      <c r="S20" s="23" t="str">
        <f t="array" ref="S20">IFERROR(INDEX(Categorias!$C$2:$C$200,15),"")</f>
        <v>🛍️ Compras</v>
      </c>
      <c r="T20" s="24">
        <f t="shared" si="3"/>
        <v>0</v>
      </c>
    </row>
    <row r="21" ht="15.75" customHeight="1">
      <c r="A21" s="25"/>
      <c r="B21" s="26"/>
      <c r="C21" s="27"/>
      <c r="D21" s="8"/>
      <c r="E21" s="25"/>
      <c r="F21" s="26"/>
      <c r="G21" s="27"/>
      <c r="H21" s="8"/>
      <c r="I21" s="25"/>
      <c r="J21" s="26"/>
      <c r="K21" s="27"/>
      <c r="M21" s="21" t="str">
        <f t="array" ref="M21">IFERROR(INDEX(Categorias!$A$2:$A$200,16),"")</f>
        <v/>
      </c>
      <c r="N21" s="22" t="str">
        <f t="shared" si="1"/>
        <v/>
      </c>
      <c r="O21" s="30"/>
      <c r="P21" s="23" t="str">
        <f t="array" ref="P21">IFERROR(INDEX(Categorias!$B$2:$B$200,16),"")</f>
        <v>💊 Farmácia</v>
      </c>
      <c r="Q21" s="24">
        <f t="shared" si="2"/>
        <v>0</v>
      </c>
      <c r="S21" s="23" t="str">
        <f t="array" ref="S21">IFERROR(INDEX(Categorias!$C$2:$C$200,16),"")</f>
        <v>🏠 Casa / Decoração</v>
      </c>
      <c r="T21" s="24">
        <f t="shared" si="3"/>
        <v>0</v>
      </c>
    </row>
    <row r="22" ht="15.75" customHeight="1">
      <c r="A22" s="25"/>
      <c r="B22" s="26"/>
      <c r="C22" s="27"/>
      <c r="D22" s="8"/>
      <c r="E22" s="25"/>
      <c r="F22" s="26"/>
      <c r="G22" s="27"/>
      <c r="H22" s="8"/>
      <c r="I22" s="25"/>
      <c r="J22" s="26"/>
      <c r="K22" s="27"/>
      <c r="M22" s="21" t="str">
        <f t="array" ref="M22">IFERROR(INDEX(Categorias!$A$2:$A$200,17),"")</f>
        <v/>
      </c>
      <c r="N22" s="22" t="str">
        <f t="shared" si="1"/>
        <v/>
      </c>
      <c r="O22" s="30"/>
      <c r="P22" s="23" t="str">
        <f t="array" ref="P22">IFERROR(INDEX(Categorias!$B$2:$B$200,17),"")</f>
        <v>🦷 Dentista</v>
      </c>
      <c r="Q22" s="24">
        <f t="shared" si="2"/>
        <v>0</v>
      </c>
      <c r="S22" s="23" t="str">
        <f t="array" ref="S22">IFERROR(INDEX(Categorias!$C$2:$C$200,17),"")</f>
        <v>✈️ Viagem</v>
      </c>
      <c r="T22" s="24">
        <f t="shared" si="3"/>
        <v>0</v>
      </c>
    </row>
    <row r="23" ht="15.75" customHeight="1">
      <c r="A23" s="25"/>
      <c r="B23" s="26"/>
      <c r="C23" s="27"/>
      <c r="D23" s="8"/>
      <c r="E23" s="25"/>
      <c r="F23" s="26"/>
      <c r="G23" s="27"/>
      <c r="H23" s="8"/>
      <c r="I23" s="25"/>
      <c r="J23" s="26"/>
      <c r="K23" s="27"/>
      <c r="M23" s="21" t="str">
        <f t="array" ref="M23">IFERROR(INDEX(Categorias!$A$2:$A$200,18),"")</f>
        <v/>
      </c>
      <c r="N23" s="22" t="str">
        <f t="shared" si="1"/>
        <v/>
      </c>
      <c r="O23" s="30"/>
      <c r="P23" s="23" t="str">
        <f t="array" ref="P23">IFERROR(INDEX(Categorias!$B$2:$B$200,18),"")</f>
        <v>🧪 Exames / Consultas</v>
      </c>
      <c r="Q23" s="24">
        <f t="shared" si="2"/>
        <v>0</v>
      </c>
      <c r="S23" s="23" t="str">
        <f t="array" ref="S23">IFERROR(INDEX(Categorias!$C$2:$C$200,18),"")</f>
        <v>🎯 Cursos / Eventos</v>
      </c>
      <c r="T23" s="24">
        <f t="shared" si="3"/>
        <v>0</v>
      </c>
    </row>
    <row r="24" ht="15.75" customHeight="1">
      <c r="A24" s="25"/>
      <c r="B24" s="26"/>
      <c r="C24" s="27"/>
      <c r="D24" s="8"/>
      <c r="E24" s="25"/>
      <c r="F24" s="26"/>
      <c r="G24" s="27"/>
      <c r="H24" s="8"/>
      <c r="I24" s="25"/>
      <c r="J24" s="26"/>
      <c r="K24" s="27"/>
      <c r="M24" s="21" t="str">
        <f t="array" ref="M24">IFERROR(INDEX(Categorias!$A$2:$A$200,19),"")</f>
        <v/>
      </c>
      <c r="N24" s="22" t="str">
        <f t="shared" si="1"/>
        <v/>
      </c>
      <c r="O24" s="30"/>
      <c r="P24" s="23" t="str">
        <f t="array" ref="P24">IFERROR(INDEX(Categorias!$B$2:$B$200,19),"")</f>
        <v>🎓 Educação</v>
      </c>
      <c r="Q24" s="24">
        <f t="shared" si="2"/>
        <v>0</v>
      </c>
      <c r="S24" s="23" t="str">
        <f t="array" ref="S24">IFERROR(INDEX(Categorias!$C$2:$C$200,19),"")</f>
        <v>🎲 Jogos</v>
      </c>
      <c r="T24" s="24">
        <f t="shared" si="3"/>
        <v>0</v>
      </c>
    </row>
    <row r="25" ht="15.75" customHeight="1">
      <c r="A25" s="25"/>
      <c r="B25" s="26"/>
      <c r="C25" s="27"/>
      <c r="D25" s="8"/>
      <c r="E25" s="25"/>
      <c r="F25" s="26"/>
      <c r="G25" s="27"/>
      <c r="H25" s="8"/>
      <c r="I25" s="25"/>
      <c r="J25" s="26"/>
      <c r="K25" s="27"/>
      <c r="M25" s="21" t="str">
        <f t="array" ref="M25">IFERROR(INDEX(Categorias!$A$2:$A$200,20),"")</f>
        <v/>
      </c>
      <c r="N25" s="22" t="str">
        <f t="shared" si="1"/>
        <v/>
      </c>
      <c r="O25" s="30"/>
      <c r="P25" s="23" t="str">
        <f t="array" ref="P25">IFERROR(INDEX(Categorias!$B$2:$B$200,20),"")</f>
        <v>📚 Livros / Materiais</v>
      </c>
      <c r="Q25" s="24">
        <f t="shared" si="2"/>
        <v>0</v>
      </c>
      <c r="S25" s="23" t="str">
        <f t="array" ref="S25">IFERROR(INDEX(Categorias!$C$2:$C$200,20),"")</f>
        <v>📦 Outros não essenciais</v>
      </c>
      <c r="T25" s="24">
        <f t="shared" si="3"/>
        <v>0</v>
      </c>
    </row>
    <row r="26" ht="15.75" customHeight="1">
      <c r="A26" s="25"/>
      <c r="B26" s="26"/>
      <c r="C26" s="27"/>
      <c r="D26" s="8"/>
      <c r="E26" s="25"/>
      <c r="F26" s="26"/>
      <c r="G26" s="27"/>
      <c r="H26" s="8"/>
      <c r="I26" s="25"/>
      <c r="J26" s="26"/>
      <c r="K26" s="27"/>
      <c r="M26" s="21" t="str">
        <f t="array" ref="M26">IFERROR(INDEX(Categorias!$A$2:$A$200,21),"")</f>
        <v/>
      </c>
      <c r="N26" s="22" t="str">
        <f t="shared" si="1"/>
        <v/>
      </c>
      <c r="O26" s="30"/>
      <c r="P26" s="23" t="str">
        <f t="array" ref="P26">IFERROR(INDEX(Categorias!$B$2:$B$200,21),"")</f>
        <v>💳 Cartão / Financeiro</v>
      </c>
      <c r="Q26" s="24">
        <f t="shared" si="2"/>
        <v>0</v>
      </c>
      <c r="S26" s="23" t="str">
        <f t="array" ref="S26">IFERROR(INDEX(Categorias!$C$2:$C$200,21),"")</f>
        <v/>
      </c>
      <c r="T26" s="24" t="str">
        <f t="shared" si="3"/>
        <v/>
      </c>
    </row>
    <row r="27" ht="15.75" customHeight="1">
      <c r="A27" s="25"/>
      <c r="B27" s="26"/>
      <c r="C27" s="27"/>
      <c r="D27" s="8"/>
      <c r="E27" s="25"/>
      <c r="F27" s="26"/>
      <c r="G27" s="27"/>
      <c r="H27" s="8"/>
      <c r="I27" s="25"/>
      <c r="J27" s="26"/>
      <c r="K27" s="27"/>
      <c r="M27" s="21" t="str">
        <f t="array" ref="M27">IFERROR(INDEX(Categorias!$A$2:$A$200,22),"")</f>
        <v/>
      </c>
      <c r="N27" s="22" t="str">
        <f t="shared" si="1"/>
        <v/>
      </c>
      <c r="O27" s="30"/>
      <c r="P27" s="23" t="str">
        <f t="array" ref="P27">IFERROR(INDEX(Categorias!$B$2:$B$200,22),"")</f>
        <v>🏦 Empréstimo / Financiamento</v>
      </c>
      <c r="Q27" s="24">
        <f t="shared" si="2"/>
        <v>0</v>
      </c>
      <c r="S27" s="23" t="str">
        <f t="array" ref="S27">IFERROR(INDEX(Categorias!$C$2:$C$200,22),"")</f>
        <v/>
      </c>
      <c r="T27" s="24" t="str">
        <f t="shared" si="3"/>
        <v/>
      </c>
    </row>
    <row r="28" ht="15.75" customHeight="1">
      <c r="A28" s="25"/>
      <c r="B28" s="26"/>
      <c r="C28" s="27"/>
      <c r="D28" s="8"/>
      <c r="E28" s="25"/>
      <c r="F28" s="26"/>
      <c r="G28" s="27"/>
      <c r="H28" s="8"/>
      <c r="I28" s="25"/>
      <c r="J28" s="26"/>
      <c r="K28" s="27"/>
      <c r="M28" s="21" t="str">
        <f t="array" ref="M28">IFERROR(INDEX(Categorias!$A$2:$A$200,23),"")</f>
        <v/>
      </c>
      <c r="N28" s="22" t="str">
        <f t="shared" si="1"/>
        <v/>
      </c>
      <c r="O28" s="30"/>
      <c r="P28" s="23" t="str">
        <f t="array" ref="P28">IFERROR(INDEX(Categorias!$B$2:$B$200,23),"")</f>
        <v>🧾 Impostos / Taxas</v>
      </c>
      <c r="Q28" s="24">
        <f t="shared" si="2"/>
        <v>0</v>
      </c>
      <c r="S28" s="23" t="str">
        <f t="array" ref="S28">IFERROR(INDEX(Categorias!$C$2:$C$200,23),"")</f>
        <v/>
      </c>
      <c r="T28" s="24" t="str">
        <f t="shared" si="3"/>
        <v/>
      </c>
    </row>
    <row r="29" ht="15.75" customHeight="1">
      <c r="A29" s="25"/>
      <c r="B29" s="26"/>
      <c r="C29" s="27"/>
      <c r="D29" s="8"/>
      <c r="E29" s="25"/>
      <c r="F29" s="26"/>
      <c r="G29" s="27"/>
      <c r="H29" s="8"/>
      <c r="I29" s="25"/>
      <c r="J29" s="26"/>
      <c r="K29" s="27"/>
      <c r="M29" s="21" t="str">
        <f t="array" ref="M29">IFERROR(INDEX(Categorias!$A$2:$A$200,24),"")</f>
        <v/>
      </c>
      <c r="N29" s="22" t="str">
        <f t="shared" si="1"/>
        <v/>
      </c>
      <c r="O29" s="30"/>
      <c r="P29" s="23" t="str">
        <f t="array" ref="P29">IFERROR(INDEX(Categorias!$B$2:$B$200,24),"")</f>
        <v>⚠️ Emergência</v>
      </c>
      <c r="Q29" s="24">
        <f t="shared" si="2"/>
        <v>0</v>
      </c>
      <c r="S29" s="23" t="str">
        <f t="array" ref="S29">IFERROR(INDEX(Categorias!$C$2:$C$200,24),"")</f>
        <v/>
      </c>
      <c r="T29" s="24" t="str">
        <f t="shared" si="3"/>
        <v/>
      </c>
    </row>
    <row r="30" ht="15.75" customHeight="1">
      <c r="A30" s="25"/>
      <c r="B30" s="26"/>
      <c r="C30" s="27"/>
      <c r="D30" s="8"/>
      <c r="E30" s="25"/>
      <c r="F30" s="26"/>
      <c r="G30" s="27"/>
      <c r="H30" s="8"/>
      <c r="I30" s="25"/>
      <c r="J30" s="26"/>
      <c r="K30" s="27"/>
      <c r="M30" s="21" t="str">
        <f t="array" ref="M30">IFERROR(INDEX(Categorias!$A$2:$A$200,25),"")</f>
        <v/>
      </c>
      <c r="N30" s="22" t="str">
        <f t="shared" si="1"/>
        <v/>
      </c>
      <c r="O30" s="30"/>
      <c r="P30" s="23" t="str">
        <f t="array" ref="P30">IFERROR(INDEX(Categorias!$B$2:$B$200,25),"")</f>
        <v>🐶 Pets essenciais</v>
      </c>
      <c r="Q30" s="24">
        <f t="shared" si="2"/>
        <v>0</v>
      </c>
      <c r="S30" s="23" t="str">
        <f t="array" ref="S30">IFERROR(INDEX(Categorias!$C$2:$C$200,25),"")</f>
        <v/>
      </c>
      <c r="T30" s="24" t="str">
        <f t="shared" si="3"/>
        <v/>
      </c>
    </row>
    <row r="31" ht="15.75" customHeight="1">
      <c r="A31" s="25"/>
      <c r="B31" s="26"/>
      <c r="C31" s="27"/>
      <c r="D31" s="8"/>
      <c r="E31" s="25"/>
      <c r="F31" s="26"/>
      <c r="G31" s="27"/>
      <c r="H31" s="8"/>
      <c r="I31" s="25"/>
      <c r="J31" s="26"/>
      <c r="K31" s="27"/>
      <c r="M31" s="21" t="str">
        <f t="array" ref="M31">IFERROR(INDEX(Categorias!$A$2:$A$200,26),"")</f>
        <v/>
      </c>
      <c r="N31" s="22" t="str">
        <f t="shared" si="1"/>
        <v/>
      </c>
      <c r="O31" s="30"/>
      <c r="P31" s="23" t="str">
        <f t="array" ref="P31">IFERROR(INDEX(Categorias!$B$2:$B$200,26),"")</f>
        <v>📦 Outros essenciais</v>
      </c>
      <c r="Q31" s="24">
        <f t="shared" si="2"/>
        <v>0</v>
      </c>
      <c r="S31" s="23" t="str">
        <f t="array" ref="S31">IFERROR(INDEX(Categorias!$C$2:$C$200,26),"")</f>
        <v/>
      </c>
      <c r="T31" s="24" t="str">
        <f t="shared" si="3"/>
        <v/>
      </c>
    </row>
    <row r="32" ht="15.75" customHeight="1">
      <c r="A32" s="25"/>
      <c r="B32" s="26"/>
      <c r="C32" s="27"/>
      <c r="D32" s="8"/>
      <c r="E32" s="25"/>
      <c r="F32" s="26"/>
      <c r="G32" s="27"/>
      <c r="H32" s="8"/>
      <c r="I32" s="25"/>
      <c r="J32" s="26"/>
      <c r="K32" s="27"/>
      <c r="M32" s="21" t="str">
        <f t="array" ref="M32">IFERROR(INDEX(Categorias!$A$2:$A$200,27),"")</f>
        <v/>
      </c>
      <c r="N32" s="22" t="str">
        <f t="shared" si="1"/>
        <v/>
      </c>
      <c r="O32" s="30"/>
      <c r="P32" s="23" t="str">
        <f t="array" ref="P32">IFERROR(INDEX(Categorias!$B$2:$B$200,27),"")</f>
        <v>🏥 Plano de saúde</v>
      </c>
      <c r="Q32" s="24">
        <f t="shared" si="2"/>
        <v>0</v>
      </c>
      <c r="S32" s="23" t="str">
        <f t="array" ref="S32">IFERROR(INDEX(Categorias!$C$2:$C$200,27),"")</f>
        <v/>
      </c>
      <c r="T32" s="24" t="str">
        <f t="shared" si="3"/>
        <v/>
      </c>
    </row>
    <row r="33" ht="15.75" customHeight="1">
      <c r="A33" s="25"/>
      <c r="B33" s="26"/>
      <c r="C33" s="27"/>
      <c r="D33" s="8"/>
      <c r="E33" s="25"/>
      <c r="F33" s="26"/>
      <c r="G33" s="27"/>
      <c r="H33" s="8"/>
      <c r="I33" s="25"/>
      <c r="J33" s="26"/>
      <c r="K33" s="27"/>
      <c r="M33" s="21" t="str">
        <f t="array" ref="M33">IFERROR(INDEX(Categorias!$A$2:$A$200,28),"")</f>
        <v/>
      </c>
      <c r="N33" s="22" t="str">
        <f t="shared" si="1"/>
        <v/>
      </c>
      <c r="O33" s="30"/>
      <c r="P33" s="23" t="str">
        <f t="array" ref="P33">IFERROR(INDEX(Categorias!$B$2:$B$200,28),"")</f>
        <v>🛡️ Seguro</v>
      </c>
      <c r="Q33" s="24">
        <f t="shared" si="2"/>
        <v>0</v>
      </c>
      <c r="S33" s="23" t="str">
        <f t="array" ref="S33">IFERROR(INDEX(Categorias!$C$2:$C$200,28),"")</f>
        <v/>
      </c>
      <c r="T33" s="24" t="str">
        <f t="shared" si="3"/>
        <v/>
      </c>
    </row>
    <row r="34" ht="15.75" customHeight="1">
      <c r="A34" s="25"/>
      <c r="B34" s="26"/>
      <c r="C34" s="27"/>
      <c r="D34" s="8"/>
      <c r="E34" s="25"/>
      <c r="F34" s="26"/>
      <c r="G34" s="27"/>
      <c r="H34" s="8"/>
      <c r="I34" s="25"/>
      <c r="J34" s="26"/>
      <c r="K34" s="27"/>
      <c r="M34" s="21" t="str">
        <f t="array" ref="M34">IFERROR(INDEX(Categorias!$A$2:$A$200,29),"")</f>
        <v/>
      </c>
      <c r="N34" s="22" t="str">
        <f t="shared" si="1"/>
        <v/>
      </c>
      <c r="O34" s="30"/>
      <c r="P34" s="23" t="str">
        <f t="array" ref="P34">IFERROR(INDEX(Categorias!$B$2:$B$200,29),"")</f>
        <v>🍽️ Alimentação básica</v>
      </c>
      <c r="Q34" s="24">
        <f t="shared" si="2"/>
        <v>0</v>
      </c>
      <c r="S34" s="23" t="str">
        <f t="array" ref="S34">IFERROR(INDEX(Categorias!$C$2:$C$200,29),"")</f>
        <v/>
      </c>
      <c r="T34" s="24" t="str">
        <f t="shared" si="3"/>
        <v/>
      </c>
    </row>
    <row r="35" ht="15.75" customHeight="1">
      <c r="A35" s="25"/>
      <c r="B35" s="26"/>
      <c r="C35" s="27"/>
      <c r="D35" s="8"/>
      <c r="E35" s="25"/>
      <c r="F35" s="26"/>
      <c r="G35" s="27"/>
      <c r="H35" s="8"/>
      <c r="I35" s="25"/>
      <c r="J35" s="26"/>
      <c r="K35" s="27"/>
      <c r="M35" s="21" t="str">
        <f t="array" ref="M35">IFERROR(INDEX(Categorias!$A$2:$A$200,30),"")</f>
        <v/>
      </c>
      <c r="N35" s="22" t="str">
        <f t="shared" si="1"/>
        <v/>
      </c>
      <c r="O35" s="30"/>
      <c r="P35" s="23" t="str">
        <f t="array" ref="P35">IFERROR(INDEX(Categorias!$B$2:$B$200,30),"")</f>
        <v>🚕 Transporte obrigatório</v>
      </c>
      <c r="Q35" s="24">
        <f t="shared" si="2"/>
        <v>0</v>
      </c>
      <c r="S35" s="23" t="str">
        <f t="array" ref="S35">IFERROR(INDEX(Categorias!$C$2:$C$200,30),"")</f>
        <v/>
      </c>
      <c r="T35" s="24" t="str">
        <f t="shared" si="3"/>
        <v/>
      </c>
    </row>
    <row r="36" ht="15.75" customHeight="1">
      <c r="A36" s="25"/>
      <c r="B36" s="26"/>
      <c r="C36" s="27"/>
      <c r="D36" s="8"/>
      <c r="E36" s="25"/>
      <c r="F36" s="26"/>
      <c r="G36" s="27"/>
      <c r="H36" s="8"/>
      <c r="I36" s="25"/>
      <c r="J36" s="26"/>
      <c r="K36" s="27"/>
      <c r="M36" s="21" t="str">
        <f t="array" ref="M36">IFERROR(INDEX(Categorias!$A$2:$A$200,31),"")</f>
        <v/>
      </c>
      <c r="N36" s="22" t="str">
        <f t="shared" si="1"/>
        <v/>
      </c>
      <c r="O36" s="30"/>
      <c r="P36" s="23" t="str">
        <f t="array" ref="P36">IFERROR(INDEX(Categorias!$B$2:$B$200,31),"")</f>
        <v>👨‍👩‍👧 Família</v>
      </c>
      <c r="Q36" s="24">
        <f t="shared" si="2"/>
        <v>0</v>
      </c>
      <c r="S36" s="23" t="str">
        <f t="array" ref="S36">IFERROR(INDEX(Categorias!$C$2:$C$200,31),"")</f>
        <v/>
      </c>
      <c r="T36" s="24" t="str">
        <f t="shared" si="3"/>
        <v/>
      </c>
    </row>
    <row r="37" ht="15.75" customHeight="1">
      <c r="A37" s="25"/>
      <c r="B37" s="26"/>
      <c r="C37" s="27"/>
      <c r="D37" s="8"/>
      <c r="E37" s="25"/>
      <c r="F37" s="26"/>
      <c r="G37" s="27"/>
      <c r="H37" s="8"/>
      <c r="I37" s="25"/>
      <c r="J37" s="26"/>
      <c r="K37" s="27"/>
      <c r="M37" s="21" t="str">
        <f t="array" ref="M37">IFERROR(INDEX(Categorias!$A$2:$A$200,32),"")</f>
        <v/>
      </c>
      <c r="N37" s="22" t="str">
        <f t="shared" si="1"/>
        <v/>
      </c>
      <c r="O37" s="30"/>
      <c r="P37" s="23" t="str">
        <f t="array" ref="P37">IFERROR(INDEX(Categorias!$B$2:$B$200,32),"")</f>
        <v/>
      </c>
      <c r="Q37" s="24" t="str">
        <f t="shared" si="2"/>
        <v/>
      </c>
      <c r="S37" s="23" t="str">
        <f t="array" ref="S37">IFERROR(INDEX(Categorias!$C$2:$C$200,32),"")</f>
        <v/>
      </c>
      <c r="T37" s="24" t="str">
        <f t="shared" si="3"/>
        <v/>
      </c>
    </row>
    <row r="38" ht="15.75" customHeight="1">
      <c r="A38" s="25"/>
      <c r="B38" s="26"/>
      <c r="C38" s="27"/>
      <c r="D38" s="8"/>
      <c r="E38" s="25"/>
      <c r="F38" s="26"/>
      <c r="G38" s="27"/>
      <c r="H38" s="8"/>
      <c r="I38" s="25"/>
      <c r="J38" s="26"/>
      <c r="K38" s="27"/>
      <c r="M38" s="21" t="str">
        <f t="array" ref="M38">IFERROR(INDEX(Categorias!$A$2:$A$200,33),"")</f>
        <v/>
      </c>
      <c r="N38" s="22" t="str">
        <f t="shared" si="1"/>
        <v/>
      </c>
      <c r="O38" s="30"/>
      <c r="P38" s="23" t="str">
        <f t="array" ref="P38">IFERROR(INDEX(Categorias!$B$2:$B$200,33),"")</f>
        <v/>
      </c>
      <c r="Q38" s="24" t="str">
        <f t="shared" si="2"/>
        <v/>
      </c>
      <c r="S38" s="23" t="str">
        <f t="array" ref="S38">IFERROR(INDEX(Categorias!$C$2:$C$200,33),"")</f>
        <v/>
      </c>
      <c r="T38" s="24" t="str">
        <f t="shared" si="3"/>
        <v/>
      </c>
    </row>
    <row r="39" ht="15.75" customHeight="1">
      <c r="A39" s="25"/>
      <c r="B39" s="26"/>
      <c r="C39" s="27"/>
      <c r="D39" s="8"/>
      <c r="E39" s="25"/>
      <c r="F39" s="26"/>
      <c r="G39" s="27"/>
      <c r="H39" s="8"/>
      <c r="I39" s="25"/>
      <c r="J39" s="26"/>
      <c r="K39" s="27"/>
      <c r="M39" s="21" t="str">
        <f t="array" ref="M39">IFERROR(INDEX(Categorias!$A$2:$A$200,34),"")</f>
        <v/>
      </c>
      <c r="N39" s="22" t="str">
        <f t="shared" si="1"/>
        <v/>
      </c>
      <c r="O39" s="30"/>
      <c r="P39" s="23" t="str">
        <f t="array" ref="P39">IFERROR(INDEX(Categorias!$B$2:$B$200,34),"")</f>
        <v/>
      </c>
      <c r="Q39" s="24" t="str">
        <f t="shared" si="2"/>
        <v/>
      </c>
      <c r="S39" s="23" t="str">
        <f t="array" ref="S39">IFERROR(INDEX(Categorias!$C$2:$C$200,34),"")</f>
        <v/>
      </c>
      <c r="T39" s="24" t="str">
        <f t="shared" si="3"/>
        <v/>
      </c>
    </row>
    <row r="40" ht="15.75" customHeight="1">
      <c r="A40" s="25"/>
      <c r="B40" s="26"/>
      <c r="C40" s="27"/>
      <c r="D40" s="8"/>
      <c r="E40" s="25"/>
      <c r="F40" s="26"/>
      <c r="G40" s="27"/>
      <c r="H40" s="8"/>
      <c r="I40" s="25"/>
      <c r="J40" s="26"/>
      <c r="K40" s="27"/>
      <c r="M40" s="21" t="str">
        <f t="array" ref="M40">IFERROR(INDEX(Categorias!$A$2:$A$200,35),"")</f>
        <v/>
      </c>
      <c r="N40" s="22" t="str">
        <f t="shared" si="1"/>
        <v/>
      </c>
      <c r="O40" s="30"/>
      <c r="P40" s="23" t="str">
        <f t="array" ref="P40">IFERROR(INDEX(Categorias!$B$2:$B$200,35),"")</f>
        <v/>
      </c>
      <c r="Q40" s="24" t="str">
        <f t="shared" si="2"/>
        <v/>
      </c>
      <c r="S40" s="23" t="str">
        <f t="array" ref="S40">IFERROR(INDEX(Categorias!$C$2:$C$200,35),"")</f>
        <v/>
      </c>
      <c r="T40" s="24" t="str">
        <f t="shared" si="3"/>
        <v/>
      </c>
    </row>
    <row r="41" ht="15.75" customHeight="1">
      <c r="A41" s="25"/>
      <c r="B41" s="26"/>
      <c r="C41" s="27"/>
      <c r="D41" s="8"/>
      <c r="E41" s="25"/>
      <c r="F41" s="26"/>
      <c r="G41" s="27"/>
      <c r="H41" s="8"/>
      <c r="I41" s="25"/>
      <c r="J41" s="26"/>
      <c r="K41" s="27"/>
      <c r="M41" s="21" t="str">
        <f t="array" ref="M41">IFERROR(INDEX(Categorias!$A$2:$A$200,36),"")</f>
        <v/>
      </c>
      <c r="N41" s="22" t="str">
        <f t="shared" si="1"/>
        <v/>
      </c>
      <c r="O41" s="30"/>
      <c r="P41" s="23" t="str">
        <f t="array" ref="P41">IFERROR(INDEX(Categorias!$B$2:$B$200,36),"")</f>
        <v/>
      </c>
      <c r="Q41" s="24" t="str">
        <f t="shared" si="2"/>
        <v/>
      </c>
      <c r="S41" s="23" t="str">
        <f t="array" ref="S41">IFERROR(INDEX(Categorias!$C$2:$C$200,36),"")</f>
        <v/>
      </c>
      <c r="T41" s="24" t="str">
        <f t="shared" si="3"/>
        <v/>
      </c>
    </row>
    <row r="42" ht="15.75" customHeight="1">
      <c r="A42" s="25"/>
      <c r="B42" s="26"/>
      <c r="C42" s="27"/>
      <c r="D42" s="8"/>
      <c r="E42" s="25"/>
      <c r="F42" s="26"/>
      <c r="G42" s="27"/>
      <c r="H42" s="8"/>
      <c r="I42" s="25"/>
      <c r="J42" s="26"/>
      <c r="K42" s="27"/>
      <c r="M42" s="21" t="str">
        <f t="array" ref="M42">IFERROR(INDEX(Categorias!$A$2:$A$200,37),"")</f>
        <v/>
      </c>
      <c r="N42" s="22" t="str">
        <f t="shared" si="1"/>
        <v/>
      </c>
      <c r="O42" s="30"/>
      <c r="P42" s="23" t="str">
        <f t="array" ref="P42">IFERROR(INDEX(Categorias!$B$2:$B$200,37),"")</f>
        <v/>
      </c>
      <c r="Q42" s="24" t="str">
        <f t="shared" si="2"/>
        <v/>
      </c>
      <c r="S42" s="23" t="str">
        <f t="array" ref="S42">IFERROR(INDEX(Categorias!$C$2:$C$200,37),"")</f>
        <v/>
      </c>
      <c r="T42" s="24" t="str">
        <f t="shared" si="3"/>
        <v/>
      </c>
    </row>
    <row r="43" ht="15.75" customHeight="1">
      <c r="A43" s="25"/>
      <c r="B43" s="26"/>
      <c r="C43" s="27"/>
      <c r="D43" s="8"/>
      <c r="E43" s="25"/>
      <c r="F43" s="26"/>
      <c r="G43" s="27"/>
      <c r="H43" s="8"/>
      <c r="I43" s="25"/>
      <c r="J43" s="26"/>
      <c r="K43" s="27"/>
      <c r="M43" s="21" t="str">
        <f t="array" ref="M43">IFERROR(INDEX(Categorias!$A$2:$A$200,38),"")</f>
        <v/>
      </c>
      <c r="N43" s="22" t="str">
        <f t="shared" si="1"/>
        <v/>
      </c>
      <c r="O43" s="30"/>
      <c r="P43" s="23" t="str">
        <f t="array" ref="P43">IFERROR(INDEX(Categorias!$B$2:$B$200,38),"")</f>
        <v/>
      </c>
      <c r="Q43" s="24" t="str">
        <f t="shared" si="2"/>
        <v/>
      </c>
      <c r="S43" s="23" t="str">
        <f t="array" ref="S43">IFERROR(INDEX(Categorias!$C$2:$C$200,38),"")</f>
        <v/>
      </c>
      <c r="T43" s="24" t="str">
        <f t="shared" si="3"/>
        <v/>
      </c>
    </row>
    <row r="44" ht="15.75" customHeight="1">
      <c r="A44" s="25"/>
      <c r="B44" s="26"/>
      <c r="C44" s="27"/>
      <c r="D44" s="8"/>
      <c r="E44" s="25"/>
      <c r="F44" s="26"/>
      <c r="G44" s="27"/>
      <c r="H44" s="8"/>
      <c r="I44" s="25"/>
      <c r="J44" s="26"/>
      <c r="K44" s="27"/>
      <c r="M44" s="21" t="str">
        <f t="array" ref="M44">IFERROR(INDEX(Categorias!$A$2:$A$200,39),"")</f>
        <v/>
      </c>
      <c r="N44" s="22" t="str">
        <f t="shared" si="1"/>
        <v/>
      </c>
      <c r="O44" s="30"/>
      <c r="P44" s="23" t="str">
        <f t="array" ref="P44">IFERROR(INDEX(Categorias!$B$2:$B$200,39),"")</f>
        <v/>
      </c>
      <c r="Q44" s="24" t="str">
        <f t="shared" si="2"/>
        <v/>
      </c>
      <c r="S44" s="23" t="str">
        <f t="array" ref="S44">IFERROR(INDEX(Categorias!$C$2:$C$200,39),"")</f>
        <v/>
      </c>
      <c r="T44" s="24" t="str">
        <f t="shared" si="3"/>
        <v/>
      </c>
    </row>
    <row r="45" ht="15.75" customHeight="1">
      <c r="A45" s="25"/>
      <c r="B45" s="26"/>
      <c r="C45" s="27"/>
      <c r="D45" s="8"/>
      <c r="E45" s="25"/>
      <c r="F45" s="26"/>
      <c r="G45" s="27"/>
      <c r="H45" s="8"/>
      <c r="I45" s="25"/>
      <c r="J45" s="26"/>
      <c r="K45" s="27"/>
      <c r="M45" s="21" t="str">
        <f t="array" ref="M45">IFERROR(INDEX(Categorias!$A$2:$A$200,40),"")</f>
        <v/>
      </c>
      <c r="N45" s="22" t="str">
        <f t="shared" si="1"/>
        <v/>
      </c>
      <c r="O45" s="30"/>
      <c r="P45" s="23" t="str">
        <f t="array" ref="P45">IFERROR(INDEX(Categorias!$B$2:$B$200,40),"")</f>
        <v/>
      </c>
      <c r="Q45" s="24" t="str">
        <f t="shared" si="2"/>
        <v/>
      </c>
      <c r="S45" s="23" t="str">
        <f t="array" ref="S45">IFERROR(INDEX(Categorias!$C$2:$C$200,40),"")</f>
        <v/>
      </c>
      <c r="T45" s="24" t="str">
        <f t="shared" si="3"/>
        <v/>
      </c>
    </row>
    <row r="46" ht="15.75" customHeight="1">
      <c r="A46" s="25"/>
      <c r="B46" s="26"/>
      <c r="C46" s="27"/>
      <c r="D46" s="8"/>
      <c r="E46" s="25"/>
      <c r="F46" s="26"/>
      <c r="G46" s="27"/>
      <c r="H46" s="8"/>
      <c r="I46" s="25"/>
      <c r="J46" s="26"/>
      <c r="K46" s="27"/>
      <c r="M46" s="21" t="str">
        <f t="array" ref="M46">IFERROR(INDEX(Categorias!$A$2:$A$200,41),"")</f>
        <v/>
      </c>
      <c r="N46" s="22" t="str">
        <f t="shared" si="1"/>
        <v/>
      </c>
      <c r="O46" s="30"/>
      <c r="P46" s="23" t="str">
        <f t="array" ref="P46">IFERROR(INDEX(Categorias!$B$2:$B$200,41),"")</f>
        <v/>
      </c>
      <c r="Q46" s="24" t="str">
        <f t="shared" si="2"/>
        <v/>
      </c>
      <c r="S46" s="23" t="str">
        <f t="array" ref="S46">IFERROR(INDEX(Categorias!$C$2:$C$200,41),"")</f>
        <v/>
      </c>
      <c r="T46" s="24" t="str">
        <f t="shared" si="3"/>
        <v/>
      </c>
    </row>
    <row r="47" ht="15.75" customHeight="1">
      <c r="A47" s="25"/>
      <c r="B47" s="26"/>
      <c r="C47" s="27"/>
      <c r="D47" s="8"/>
      <c r="E47" s="25"/>
      <c r="F47" s="26"/>
      <c r="G47" s="27"/>
      <c r="H47" s="8"/>
      <c r="I47" s="25"/>
      <c r="J47" s="26"/>
      <c r="K47" s="27"/>
      <c r="M47" s="21" t="str">
        <f t="array" ref="M47">IFERROR(INDEX(Categorias!$A$2:$A$200,42),"")</f>
        <v/>
      </c>
      <c r="N47" s="22" t="str">
        <f t="shared" si="1"/>
        <v/>
      </c>
      <c r="O47" s="30"/>
      <c r="P47" s="23" t="str">
        <f t="array" ref="P47">IFERROR(INDEX(Categorias!$B$2:$B$200,42),"")</f>
        <v/>
      </c>
      <c r="Q47" s="24" t="str">
        <f t="shared" si="2"/>
        <v/>
      </c>
      <c r="S47" s="23" t="str">
        <f t="array" ref="S47">IFERROR(INDEX(Categorias!$C$2:$C$200,42),"")</f>
        <v/>
      </c>
      <c r="T47" s="24" t="str">
        <f t="shared" si="3"/>
        <v/>
      </c>
    </row>
    <row r="48" ht="15.75" customHeight="1">
      <c r="A48" s="25"/>
      <c r="B48" s="26"/>
      <c r="C48" s="27"/>
      <c r="D48" s="8"/>
      <c r="E48" s="25"/>
      <c r="F48" s="26"/>
      <c r="G48" s="27"/>
      <c r="H48" s="8"/>
      <c r="I48" s="25"/>
      <c r="J48" s="26"/>
      <c r="K48" s="27"/>
      <c r="M48" s="21" t="str">
        <f t="array" ref="M48">IFERROR(INDEX(Categorias!$A$2:$A$200,43),"")</f>
        <v/>
      </c>
      <c r="N48" s="22" t="str">
        <f t="shared" si="1"/>
        <v/>
      </c>
      <c r="O48" s="30"/>
      <c r="P48" s="23" t="str">
        <f t="array" ref="P48">IFERROR(INDEX(Categorias!$B$2:$B$200,43),"")</f>
        <v/>
      </c>
      <c r="Q48" s="24" t="str">
        <f t="shared" si="2"/>
        <v/>
      </c>
      <c r="S48" s="23" t="str">
        <f t="array" ref="S48">IFERROR(INDEX(Categorias!$C$2:$C$200,43),"")</f>
        <v/>
      </c>
      <c r="T48" s="24" t="str">
        <f t="shared" si="3"/>
        <v/>
      </c>
    </row>
    <row r="49" ht="15.75" customHeight="1">
      <c r="A49" s="25"/>
      <c r="B49" s="26"/>
      <c r="C49" s="27"/>
      <c r="D49" s="8"/>
      <c r="E49" s="25"/>
      <c r="F49" s="26"/>
      <c r="G49" s="27"/>
      <c r="H49" s="8"/>
      <c r="I49" s="25"/>
      <c r="J49" s="26"/>
      <c r="K49" s="27"/>
      <c r="M49" s="21" t="str">
        <f t="array" ref="M49">IFERROR(INDEX(Categorias!$A$2:$A$200,44),"")</f>
        <v/>
      </c>
      <c r="N49" s="22" t="str">
        <f t="shared" si="1"/>
        <v/>
      </c>
      <c r="O49" s="30"/>
      <c r="P49" s="23" t="str">
        <f t="array" ref="P49">IFERROR(INDEX(Categorias!$B$2:$B$200,44),"")</f>
        <v/>
      </c>
      <c r="Q49" s="24" t="str">
        <f t="shared" si="2"/>
        <v/>
      </c>
      <c r="S49" s="23" t="str">
        <f t="array" ref="S49">IFERROR(INDEX(Categorias!$C$2:$C$200,44),"")</f>
        <v/>
      </c>
      <c r="T49" s="24" t="str">
        <f t="shared" si="3"/>
        <v/>
      </c>
    </row>
    <row r="50" ht="15.75" customHeight="1">
      <c r="A50" s="25"/>
      <c r="B50" s="26"/>
      <c r="C50" s="27"/>
      <c r="D50" s="8"/>
      <c r="E50" s="25"/>
      <c r="F50" s="26"/>
      <c r="G50" s="27"/>
      <c r="H50" s="8"/>
      <c r="I50" s="25"/>
      <c r="J50" s="26"/>
      <c r="K50" s="27"/>
      <c r="M50" s="21" t="str">
        <f t="array" ref="M50">IFERROR(INDEX(Categorias!$A$2:$A$200,45),"")</f>
        <v/>
      </c>
      <c r="N50" s="22" t="str">
        <f t="shared" si="1"/>
        <v/>
      </c>
      <c r="O50" s="30"/>
      <c r="P50" s="23" t="str">
        <f t="array" ref="P50">IFERROR(INDEX(Categorias!$B$2:$B$200,45),"")</f>
        <v/>
      </c>
      <c r="Q50" s="24" t="str">
        <f t="shared" si="2"/>
        <v/>
      </c>
      <c r="S50" s="23" t="str">
        <f t="array" ref="S50">IFERROR(INDEX(Categorias!$C$2:$C$200,45),"")</f>
        <v/>
      </c>
      <c r="T50" s="24" t="str">
        <f t="shared" si="3"/>
        <v/>
      </c>
    </row>
    <row r="51" ht="15.75" customHeight="1">
      <c r="A51" s="25"/>
      <c r="B51" s="26"/>
      <c r="C51" s="27"/>
      <c r="D51" s="8"/>
      <c r="E51" s="25"/>
      <c r="F51" s="26"/>
      <c r="G51" s="27"/>
      <c r="H51" s="8"/>
      <c r="I51" s="25"/>
      <c r="J51" s="26"/>
      <c r="K51" s="27"/>
      <c r="M51" s="21" t="str">
        <f t="array" ref="M51">IFERROR(INDEX(Categorias!$A$2:$A$200,46),"")</f>
        <v/>
      </c>
      <c r="N51" s="22" t="str">
        <f t="shared" si="1"/>
        <v/>
      </c>
      <c r="O51" s="30"/>
      <c r="P51" s="23" t="str">
        <f t="array" ref="P51">IFERROR(INDEX(Categorias!$B$2:$B$200,46),"")</f>
        <v/>
      </c>
      <c r="Q51" s="24" t="str">
        <f t="shared" si="2"/>
        <v/>
      </c>
      <c r="S51" s="23" t="str">
        <f t="array" ref="S51">IFERROR(INDEX(Categorias!$C$2:$C$200,46),"")</f>
        <v/>
      </c>
      <c r="T51" s="24" t="str">
        <f t="shared" si="3"/>
        <v/>
      </c>
    </row>
    <row r="52" ht="15.75" customHeight="1">
      <c r="A52" s="25"/>
      <c r="B52" s="26"/>
      <c r="C52" s="27"/>
      <c r="D52" s="8"/>
      <c r="E52" s="25"/>
      <c r="F52" s="26"/>
      <c r="G52" s="27"/>
      <c r="H52" s="8"/>
      <c r="I52" s="25"/>
      <c r="J52" s="26"/>
      <c r="K52" s="27"/>
      <c r="M52" s="21" t="str">
        <f t="array" ref="M52">IFERROR(INDEX(Categorias!$A$2:$A$200,47),"")</f>
        <v/>
      </c>
      <c r="N52" s="22" t="str">
        <f t="shared" si="1"/>
        <v/>
      </c>
      <c r="O52" s="30"/>
      <c r="P52" s="23" t="str">
        <f t="array" ref="P52">IFERROR(INDEX(Categorias!$B$2:$B$200,47),"")</f>
        <v/>
      </c>
      <c r="Q52" s="24" t="str">
        <f t="shared" si="2"/>
        <v/>
      </c>
      <c r="S52" s="23" t="str">
        <f t="array" ref="S52">IFERROR(INDEX(Categorias!$C$2:$C$200,47),"")</f>
        <v/>
      </c>
      <c r="T52" s="24" t="str">
        <f t="shared" si="3"/>
        <v/>
      </c>
    </row>
    <row r="53" ht="15.75" customHeight="1">
      <c r="A53" s="25"/>
      <c r="B53" s="26"/>
      <c r="C53" s="27"/>
      <c r="D53" s="8"/>
      <c r="E53" s="25"/>
      <c r="F53" s="26"/>
      <c r="G53" s="27"/>
      <c r="H53" s="8"/>
      <c r="I53" s="25"/>
      <c r="J53" s="26"/>
      <c r="K53" s="27"/>
      <c r="M53" s="21" t="str">
        <f t="array" ref="M53">IFERROR(INDEX(Categorias!$A$2:$A$200,48),"")</f>
        <v/>
      </c>
      <c r="N53" s="22" t="str">
        <f t="shared" si="1"/>
        <v/>
      </c>
      <c r="O53" s="30"/>
      <c r="P53" s="23" t="str">
        <f t="array" ref="P53">IFERROR(INDEX(Categorias!$B$2:$B$200,48),"")</f>
        <v/>
      </c>
      <c r="Q53" s="24" t="str">
        <f t="shared" si="2"/>
        <v/>
      </c>
      <c r="S53" s="23" t="str">
        <f t="array" ref="S53">IFERROR(INDEX(Categorias!$C$2:$C$200,48),"")</f>
        <v/>
      </c>
      <c r="T53" s="24" t="str">
        <f t="shared" si="3"/>
        <v/>
      </c>
    </row>
    <row r="54" ht="15.75" customHeight="1">
      <c r="A54" s="25"/>
      <c r="B54" s="26"/>
      <c r="C54" s="27"/>
      <c r="D54" s="8"/>
      <c r="E54" s="25"/>
      <c r="F54" s="26"/>
      <c r="G54" s="27"/>
      <c r="H54" s="8"/>
      <c r="I54" s="25"/>
      <c r="J54" s="26"/>
      <c r="K54" s="27"/>
      <c r="M54" s="21" t="str">
        <f t="array" ref="M54">IFERROR(INDEX(Categorias!$A$2:$A$200,49),"")</f>
        <v/>
      </c>
      <c r="N54" s="22" t="str">
        <f t="shared" si="1"/>
        <v/>
      </c>
      <c r="O54" s="30"/>
      <c r="P54" s="23" t="str">
        <f t="array" ref="P54">IFERROR(INDEX(Categorias!$B$2:$B$200,49),"")</f>
        <v/>
      </c>
      <c r="Q54" s="24" t="str">
        <f t="shared" si="2"/>
        <v/>
      </c>
      <c r="S54" s="23" t="str">
        <f t="array" ref="S54">IFERROR(INDEX(Categorias!$C$2:$C$200,49),"")</f>
        <v/>
      </c>
      <c r="T54" s="24" t="str">
        <f t="shared" si="3"/>
        <v/>
      </c>
    </row>
    <row r="55" ht="15.75" customHeight="1">
      <c r="A55" s="25"/>
      <c r="B55" s="26"/>
      <c r="C55" s="27"/>
      <c r="D55" s="8"/>
      <c r="E55" s="25"/>
      <c r="F55" s="26"/>
      <c r="G55" s="27"/>
      <c r="H55" s="8"/>
      <c r="I55" s="25"/>
      <c r="J55" s="26"/>
      <c r="K55" s="27"/>
      <c r="M55" s="21" t="str">
        <f t="array" ref="M55">IFERROR(INDEX(Categorias!$A$2:$A$200,50),"")</f>
        <v/>
      </c>
      <c r="N55" s="22" t="str">
        <f t="shared" si="1"/>
        <v/>
      </c>
      <c r="O55" s="30"/>
      <c r="P55" s="23" t="str">
        <f t="array" ref="P55">IFERROR(INDEX(Categorias!$B$2:$B$200,50),"")</f>
        <v/>
      </c>
      <c r="Q55" s="24" t="str">
        <f t="shared" si="2"/>
        <v/>
      </c>
      <c r="S55" s="23" t="str">
        <f t="array" ref="S55">IFERROR(INDEX(Categorias!$C$2:$C$200,50),"")</f>
        <v/>
      </c>
      <c r="T55" s="24" t="str">
        <f t="shared" si="3"/>
        <v/>
      </c>
    </row>
    <row r="56" ht="15.75" customHeight="1">
      <c r="A56" s="25"/>
      <c r="B56" s="26"/>
      <c r="C56" s="27"/>
      <c r="D56" s="8"/>
      <c r="E56" s="25"/>
      <c r="F56" s="26"/>
      <c r="G56" s="27"/>
      <c r="H56" s="8"/>
      <c r="I56" s="25"/>
      <c r="J56" s="26"/>
      <c r="K56" s="27"/>
      <c r="M56" s="21" t="str">
        <f t="array" ref="M56">IFERROR(INDEX(Categorias!$A$2:$A$200,51),"")</f>
        <v/>
      </c>
      <c r="N56" s="22" t="str">
        <f t="shared" si="1"/>
        <v/>
      </c>
      <c r="O56" s="30"/>
      <c r="P56" s="23" t="str">
        <f t="array" ref="P56">IFERROR(INDEX(Categorias!$B$2:$B$200,51),"")</f>
        <v/>
      </c>
      <c r="Q56" s="24" t="str">
        <f t="shared" si="2"/>
        <v/>
      </c>
      <c r="S56" s="23" t="str">
        <f t="array" ref="S56">IFERROR(INDEX(Categorias!$C$2:$C$200,51),"")</f>
        <v/>
      </c>
      <c r="T56" s="24" t="str">
        <f t="shared" si="3"/>
        <v/>
      </c>
    </row>
    <row r="57" ht="15.75" customHeight="1">
      <c r="A57" s="25"/>
      <c r="B57" s="26"/>
      <c r="C57" s="27"/>
      <c r="D57" s="8"/>
      <c r="E57" s="25"/>
      <c r="F57" s="26"/>
      <c r="G57" s="27"/>
      <c r="H57" s="8"/>
      <c r="I57" s="25"/>
      <c r="J57" s="26"/>
      <c r="K57" s="27"/>
      <c r="M57" s="21" t="str">
        <f t="array" ref="M57">IFERROR(INDEX(Categorias!$A$2:$A$200,52),"")</f>
        <v/>
      </c>
      <c r="N57" s="22" t="str">
        <f t="shared" si="1"/>
        <v/>
      </c>
      <c r="O57" s="30"/>
      <c r="P57" s="23" t="str">
        <f t="array" ref="P57">IFERROR(INDEX(Categorias!$B$2:$B$200,52),"")</f>
        <v/>
      </c>
      <c r="Q57" s="24" t="str">
        <f t="shared" si="2"/>
        <v/>
      </c>
      <c r="S57" s="23" t="str">
        <f t="array" ref="S57">IFERROR(INDEX(Categorias!$C$2:$C$200,52),"")</f>
        <v/>
      </c>
      <c r="T57" s="24" t="str">
        <f t="shared" si="3"/>
        <v/>
      </c>
    </row>
    <row r="58" ht="15.75" customHeight="1">
      <c r="A58" s="25"/>
      <c r="B58" s="26"/>
      <c r="C58" s="27"/>
      <c r="D58" s="8"/>
      <c r="E58" s="25"/>
      <c r="F58" s="26"/>
      <c r="G58" s="27"/>
      <c r="H58" s="8"/>
      <c r="I58" s="25"/>
      <c r="J58" s="26"/>
      <c r="K58" s="27"/>
      <c r="M58" s="21" t="str">
        <f t="array" ref="M58">IFERROR(INDEX(Categorias!$A$2:$A$200,53),"")</f>
        <v/>
      </c>
      <c r="N58" s="22" t="str">
        <f t="shared" si="1"/>
        <v/>
      </c>
      <c r="O58" s="30"/>
      <c r="P58" s="23" t="str">
        <f t="array" ref="P58">IFERROR(INDEX(Categorias!$B$2:$B$200,53),"")</f>
        <v/>
      </c>
      <c r="Q58" s="24" t="str">
        <f t="shared" si="2"/>
        <v/>
      </c>
      <c r="S58" s="23" t="str">
        <f t="array" ref="S58">IFERROR(INDEX(Categorias!$C$2:$C$200,53),"")</f>
        <v/>
      </c>
      <c r="T58" s="24" t="str">
        <f t="shared" si="3"/>
        <v/>
      </c>
    </row>
    <row r="59" ht="15.75" customHeight="1">
      <c r="A59" s="25"/>
      <c r="B59" s="26"/>
      <c r="C59" s="27"/>
      <c r="D59" s="8"/>
      <c r="E59" s="25"/>
      <c r="F59" s="26"/>
      <c r="G59" s="27"/>
      <c r="H59" s="8"/>
      <c r="I59" s="25"/>
      <c r="J59" s="26"/>
      <c r="K59" s="27"/>
      <c r="M59" s="21" t="str">
        <f t="array" ref="M59">IFERROR(INDEX(Categorias!$A$2:$A$200,54),"")</f>
        <v/>
      </c>
      <c r="N59" s="22" t="str">
        <f t="shared" si="1"/>
        <v/>
      </c>
      <c r="O59" s="30"/>
      <c r="P59" s="23" t="str">
        <f t="array" ref="P59">IFERROR(INDEX(Categorias!$B$2:$B$200,54),"")</f>
        <v/>
      </c>
      <c r="Q59" s="24" t="str">
        <f t="shared" si="2"/>
        <v/>
      </c>
      <c r="S59" s="23" t="str">
        <f t="array" ref="S59">IFERROR(INDEX(Categorias!$C$2:$C$200,54),"")</f>
        <v/>
      </c>
      <c r="T59" s="24" t="str">
        <f t="shared" si="3"/>
        <v/>
      </c>
    </row>
    <row r="60" ht="15.75" customHeight="1">
      <c r="A60" s="25"/>
      <c r="B60" s="26"/>
      <c r="C60" s="27"/>
      <c r="D60" s="8"/>
      <c r="E60" s="25"/>
      <c r="F60" s="26"/>
      <c r="G60" s="27"/>
      <c r="H60" s="8"/>
      <c r="I60" s="25"/>
      <c r="J60" s="26"/>
      <c r="K60" s="27"/>
      <c r="M60" s="21" t="str">
        <f t="array" ref="M60">IFERROR(INDEX(Categorias!$A$2:$A$200,55),"")</f>
        <v/>
      </c>
      <c r="N60" s="22" t="str">
        <f t="shared" si="1"/>
        <v/>
      </c>
      <c r="O60" s="30"/>
      <c r="P60" s="23" t="str">
        <f t="array" ref="P60">IFERROR(INDEX(Categorias!$B$2:$B$200,55),"")</f>
        <v/>
      </c>
      <c r="Q60" s="24" t="str">
        <f t="shared" si="2"/>
        <v/>
      </c>
      <c r="S60" s="23" t="str">
        <f t="array" ref="S60">IFERROR(INDEX(Categorias!$C$2:$C$200,55),"")</f>
        <v/>
      </c>
      <c r="T60" s="24" t="str">
        <f t="shared" si="3"/>
        <v/>
      </c>
    </row>
    <row r="61" ht="15.75" customHeight="1">
      <c r="A61" s="25"/>
      <c r="B61" s="26"/>
      <c r="C61" s="27"/>
      <c r="D61" s="8"/>
      <c r="E61" s="25"/>
      <c r="F61" s="26"/>
      <c r="G61" s="27"/>
      <c r="H61" s="8"/>
      <c r="I61" s="25"/>
      <c r="J61" s="26"/>
      <c r="K61" s="27"/>
      <c r="M61" s="21" t="str">
        <f t="array" ref="M61">IFERROR(INDEX(Categorias!$A$2:$A$200,56),"")</f>
        <v/>
      </c>
      <c r="N61" s="22" t="str">
        <f t="shared" si="1"/>
        <v/>
      </c>
      <c r="O61" s="30"/>
      <c r="P61" s="23" t="str">
        <f t="array" ref="P61">IFERROR(INDEX(Categorias!$B$2:$B$200,56),"")</f>
        <v/>
      </c>
      <c r="Q61" s="24" t="str">
        <f t="shared" si="2"/>
        <v/>
      </c>
      <c r="S61" s="23" t="str">
        <f t="array" ref="S61">IFERROR(INDEX(Categorias!$C$2:$C$200,56),"")</f>
        <v/>
      </c>
      <c r="T61" s="24" t="str">
        <f t="shared" si="3"/>
        <v/>
      </c>
    </row>
    <row r="62" ht="15.75" customHeight="1">
      <c r="A62" s="25"/>
      <c r="B62" s="26"/>
      <c r="C62" s="27"/>
      <c r="D62" s="8"/>
      <c r="E62" s="25"/>
      <c r="F62" s="26"/>
      <c r="G62" s="27"/>
      <c r="H62" s="8"/>
      <c r="I62" s="25"/>
      <c r="J62" s="26"/>
      <c r="K62" s="27"/>
      <c r="M62" s="21" t="str">
        <f t="array" ref="M62">IFERROR(INDEX(Categorias!$A$2:$A$200,57),"")</f>
        <v/>
      </c>
      <c r="N62" s="22" t="str">
        <f t="shared" si="1"/>
        <v/>
      </c>
      <c r="O62" s="30"/>
      <c r="P62" s="23" t="str">
        <f t="array" ref="P62">IFERROR(INDEX(Categorias!$B$2:$B$200,57),"")</f>
        <v/>
      </c>
      <c r="Q62" s="24" t="str">
        <f t="shared" si="2"/>
        <v/>
      </c>
      <c r="S62" s="23" t="str">
        <f t="array" ref="S62">IFERROR(INDEX(Categorias!$C$2:$C$200,57),"")</f>
        <v/>
      </c>
      <c r="T62" s="24" t="str">
        <f t="shared" si="3"/>
        <v/>
      </c>
    </row>
    <row r="63" ht="15.75" customHeight="1">
      <c r="A63" s="25"/>
      <c r="B63" s="26"/>
      <c r="C63" s="27"/>
      <c r="D63" s="8"/>
      <c r="E63" s="25"/>
      <c r="F63" s="26"/>
      <c r="G63" s="27"/>
      <c r="H63" s="8"/>
      <c r="I63" s="25"/>
      <c r="J63" s="26"/>
      <c r="K63" s="27"/>
      <c r="M63" s="21" t="str">
        <f t="array" ref="M63">IFERROR(INDEX(Categorias!$A$2:$A$200,58),"")</f>
        <v/>
      </c>
      <c r="N63" s="22" t="str">
        <f t="shared" si="1"/>
        <v/>
      </c>
      <c r="O63" s="30"/>
      <c r="P63" s="23" t="str">
        <f t="array" ref="P63">IFERROR(INDEX(Categorias!$B$2:$B$200,58),"")</f>
        <v/>
      </c>
      <c r="Q63" s="24" t="str">
        <f t="shared" si="2"/>
        <v/>
      </c>
      <c r="S63" s="23" t="str">
        <f t="array" ref="S63">IFERROR(INDEX(Categorias!$C$2:$C$200,58),"")</f>
        <v/>
      </c>
      <c r="T63" s="24" t="str">
        <f t="shared" si="3"/>
        <v/>
      </c>
    </row>
    <row r="64" ht="15.75" customHeight="1">
      <c r="A64" s="25"/>
      <c r="B64" s="26"/>
      <c r="C64" s="27"/>
      <c r="D64" s="8"/>
      <c r="E64" s="25"/>
      <c r="F64" s="26"/>
      <c r="G64" s="27"/>
      <c r="H64" s="8"/>
      <c r="I64" s="25"/>
      <c r="J64" s="26"/>
      <c r="K64" s="27"/>
      <c r="M64" s="21" t="str">
        <f t="array" ref="M64">IFERROR(INDEX(Categorias!$A$2:$A$200,59),"")</f>
        <v/>
      </c>
      <c r="N64" s="22" t="str">
        <f t="shared" si="1"/>
        <v/>
      </c>
      <c r="O64" s="30"/>
      <c r="P64" s="23" t="str">
        <f t="array" ref="P64">IFERROR(INDEX(Categorias!$B$2:$B$200,59),"")</f>
        <v/>
      </c>
      <c r="Q64" s="24" t="str">
        <f t="shared" si="2"/>
        <v/>
      </c>
      <c r="S64" s="23" t="str">
        <f t="array" ref="S64">IFERROR(INDEX(Categorias!$C$2:$C$200,59),"")</f>
        <v/>
      </c>
      <c r="T64" s="24" t="str">
        <f t="shared" si="3"/>
        <v/>
      </c>
    </row>
    <row r="65" ht="15.75" customHeight="1">
      <c r="A65" s="25"/>
      <c r="B65" s="26"/>
      <c r="C65" s="27"/>
      <c r="D65" s="8"/>
      <c r="E65" s="25"/>
      <c r="F65" s="26"/>
      <c r="G65" s="27"/>
      <c r="H65" s="8"/>
      <c r="I65" s="25"/>
      <c r="J65" s="26"/>
      <c r="K65" s="27"/>
      <c r="M65" s="21" t="str">
        <f t="array" ref="M65">IFERROR(INDEX(Categorias!$A$2:$A$200,60),"")</f>
        <v/>
      </c>
      <c r="N65" s="22" t="str">
        <f t="shared" si="1"/>
        <v/>
      </c>
      <c r="O65" s="30"/>
      <c r="P65" s="23" t="str">
        <f t="array" ref="P65">IFERROR(INDEX(Categorias!$B$2:$B$200,60),"")</f>
        <v/>
      </c>
      <c r="Q65" s="24" t="str">
        <f t="shared" si="2"/>
        <v/>
      </c>
      <c r="S65" s="23" t="str">
        <f t="array" ref="S65">IFERROR(INDEX(Categorias!$C$2:$C$200,60),"")</f>
        <v/>
      </c>
      <c r="T65" s="24" t="str">
        <f t="shared" si="3"/>
        <v/>
      </c>
    </row>
    <row r="66" ht="15.75" customHeight="1">
      <c r="A66" s="25"/>
      <c r="B66" s="26"/>
      <c r="C66" s="27"/>
      <c r="D66" s="8"/>
      <c r="E66" s="25"/>
      <c r="F66" s="26"/>
      <c r="G66" s="27"/>
      <c r="H66" s="8"/>
      <c r="I66" s="25"/>
      <c r="J66" s="26"/>
      <c r="K66" s="27"/>
      <c r="M66" s="21" t="str">
        <f t="array" ref="M66">IFERROR(INDEX(Categorias!$A$2:$A$200,61),"")</f>
        <v/>
      </c>
      <c r="N66" s="22" t="str">
        <f t="shared" si="1"/>
        <v/>
      </c>
      <c r="O66" s="30"/>
      <c r="P66" s="23" t="str">
        <f t="array" ref="P66">IFERROR(INDEX(Categorias!$B$2:$B$200,61),"")</f>
        <v/>
      </c>
      <c r="Q66" s="24" t="str">
        <f t="shared" si="2"/>
        <v/>
      </c>
      <c r="S66" s="23" t="str">
        <f t="array" ref="S66">IFERROR(INDEX(Categorias!$C$2:$C$200,61),"")</f>
        <v/>
      </c>
      <c r="T66" s="24" t="str">
        <f t="shared" si="3"/>
        <v/>
      </c>
    </row>
    <row r="67" ht="15.75" customHeight="1">
      <c r="A67" s="25"/>
      <c r="B67" s="26"/>
      <c r="C67" s="27"/>
      <c r="D67" s="8"/>
      <c r="E67" s="25"/>
      <c r="F67" s="26"/>
      <c r="G67" s="27"/>
      <c r="H67" s="8"/>
      <c r="I67" s="25"/>
      <c r="J67" s="26"/>
      <c r="K67" s="27"/>
      <c r="M67" s="21" t="str">
        <f t="array" ref="M67">IFERROR(INDEX(Categorias!$A$2:$A$200,62),"")</f>
        <v/>
      </c>
      <c r="N67" s="22" t="str">
        <f t="shared" si="1"/>
        <v/>
      </c>
      <c r="O67" s="30"/>
      <c r="P67" s="23" t="str">
        <f t="array" ref="P67">IFERROR(INDEX(Categorias!$B$2:$B$200,62),"")</f>
        <v/>
      </c>
      <c r="Q67" s="24" t="str">
        <f t="shared" si="2"/>
        <v/>
      </c>
      <c r="S67" s="23" t="str">
        <f t="array" ref="S67">IFERROR(INDEX(Categorias!$C$2:$C$200,62),"")</f>
        <v/>
      </c>
      <c r="T67" s="24" t="str">
        <f t="shared" si="3"/>
        <v/>
      </c>
    </row>
    <row r="68" ht="15.75" customHeight="1">
      <c r="A68" s="25"/>
      <c r="B68" s="26"/>
      <c r="C68" s="27"/>
      <c r="D68" s="8"/>
      <c r="E68" s="25"/>
      <c r="F68" s="26"/>
      <c r="G68" s="27"/>
      <c r="H68" s="8"/>
      <c r="I68" s="25"/>
      <c r="J68" s="26"/>
      <c r="K68" s="27"/>
      <c r="M68" s="23" t="str">
        <f t="array" ref="M68">IFERROR(INDEX(Categorias!$A$2:$A$200,63),"")</f>
        <v/>
      </c>
      <c r="N68" s="24" t="str">
        <f t="shared" si="1"/>
        <v/>
      </c>
      <c r="O68" s="30"/>
      <c r="P68" s="23" t="str">
        <f t="array" ref="P68">IFERROR(INDEX(Categorias!$B$2:$B$200,63),"")</f>
        <v/>
      </c>
      <c r="Q68" s="24" t="str">
        <f t="shared" si="2"/>
        <v/>
      </c>
      <c r="S68" s="23" t="str">
        <f t="array" ref="S68">IFERROR(INDEX(Categorias!$C$2:$C$200,63),"")</f>
        <v/>
      </c>
      <c r="T68" s="24" t="str">
        <f t="shared" si="3"/>
        <v/>
      </c>
    </row>
    <row r="69" ht="15.75" customHeight="1">
      <c r="A69" s="25"/>
      <c r="B69" s="26"/>
      <c r="C69" s="27"/>
      <c r="D69" s="8"/>
      <c r="E69" s="25"/>
      <c r="F69" s="26"/>
      <c r="G69" s="27"/>
      <c r="H69" s="8"/>
      <c r="I69" s="25"/>
      <c r="J69" s="26"/>
      <c r="K69" s="27"/>
      <c r="M69" s="23" t="str">
        <f t="array" ref="M69">IFERROR(INDEX(Categorias!$A$2:$A$200,64),"")</f>
        <v/>
      </c>
      <c r="N69" s="24" t="str">
        <f t="shared" si="1"/>
        <v/>
      </c>
      <c r="O69" s="30"/>
      <c r="P69" s="23" t="str">
        <f t="array" ref="P69">IFERROR(INDEX(Categorias!$B$2:$B$200,64),"")</f>
        <v/>
      </c>
      <c r="Q69" s="24" t="str">
        <f t="shared" si="2"/>
        <v/>
      </c>
      <c r="S69" s="23" t="str">
        <f t="array" ref="S69">IFERROR(INDEX(Categorias!$C$2:$C$200,64),"")</f>
        <v/>
      </c>
      <c r="T69" s="24" t="str">
        <f t="shared" si="3"/>
        <v/>
      </c>
    </row>
    <row r="70" ht="15.75" customHeight="1">
      <c r="A70" s="25"/>
      <c r="B70" s="26"/>
      <c r="C70" s="27"/>
      <c r="D70" s="8"/>
      <c r="E70" s="25"/>
      <c r="F70" s="26"/>
      <c r="G70" s="27"/>
      <c r="H70" s="8"/>
      <c r="I70" s="25"/>
      <c r="J70" s="26"/>
      <c r="K70" s="27"/>
      <c r="M70" s="23" t="str">
        <f t="array" ref="M70">IFERROR(INDEX(Categorias!$A$2:$A$200,65),"")</f>
        <v/>
      </c>
      <c r="N70" s="24" t="str">
        <f t="shared" si="1"/>
        <v/>
      </c>
      <c r="O70" s="30"/>
      <c r="P70" s="23" t="str">
        <f t="array" ref="P70">IFERROR(INDEX(Categorias!$B$2:$B$200,65),"")</f>
        <v/>
      </c>
      <c r="Q70" s="24" t="str">
        <f t="shared" si="2"/>
        <v/>
      </c>
      <c r="S70" s="23" t="str">
        <f t="array" ref="S70">IFERROR(INDEX(Categorias!$C$2:$C$200,65),"")</f>
        <v/>
      </c>
      <c r="T70" s="24" t="str">
        <f t="shared" si="3"/>
        <v/>
      </c>
    </row>
    <row r="71" ht="15.75" customHeight="1">
      <c r="A71" s="25"/>
      <c r="B71" s="26"/>
      <c r="C71" s="27"/>
      <c r="D71" s="8"/>
      <c r="E71" s="25"/>
      <c r="F71" s="26"/>
      <c r="G71" s="27"/>
      <c r="H71" s="8"/>
      <c r="I71" s="25"/>
      <c r="J71" s="26"/>
      <c r="K71" s="27"/>
      <c r="M71" s="23" t="str">
        <f t="array" ref="M71">IFERROR(INDEX(Categorias!$A$2:$A$200,66),"")</f>
        <v/>
      </c>
      <c r="N71" s="24" t="str">
        <f t="shared" si="1"/>
        <v/>
      </c>
      <c r="O71" s="30"/>
      <c r="P71" s="23" t="str">
        <f t="array" ref="P71">IFERROR(INDEX(Categorias!$B$2:$B$200,66),"")</f>
        <v/>
      </c>
      <c r="Q71" s="24" t="str">
        <f t="shared" si="2"/>
        <v/>
      </c>
      <c r="S71" s="23" t="str">
        <f t="array" ref="S71">IFERROR(INDEX(Categorias!$C$2:$C$200,66),"")</f>
        <v/>
      </c>
      <c r="T71" s="24" t="str">
        <f t="shared" si="3"/>
        <v/>
      </c>
    </row>
    <row r="72" ht="15.75" customHeight="1">
      <c r="A72" s="25"/>
      <c r="B72" s="26"/>
      <c r="C72" s="27"/>
      <c r="D72" s="8"/>
      <c r="E72" s="25"/>
      <c r="F72" s="26"/>
      <c r="G72" s="27"/>
      <c r="H72" s="8"/>
      <c r="I72" s="25"/>
      <c r="J72" s="26"/>
      <c r="K72" s="27"/>
      <c r="M72" s="23" t="str">
        <f t="array" ref="M72">IFERROR(INDEX(Categorias!$A$2:$A$200,67),"")</f>
        <v/>
      </c>
      <c r="N72" s="24" t="str">
        <f t="shared" si="1"/>
        <v/>
      </c>
      <c r="O72" s="30"/>
      <c r="P72" s="23" t="str">
        <f t="array" ref="P72">IFERROR(INDEX(Categorias!$B$2:$B$200,67),"")</f>
        <v/>
      </c>
      <c r="Q72" s="24" t="str">
        <f t="shared" si="2"/>
        <v/>
      </c>
      <c r="S72" s="23" t="str">
        <f t="array" ref="S72">IFERROR(INDEX(Categorias!$C$2:$C$200,67),"")</f>
        <v/>
      </c>
      <c r="T72" s="24" t="str">
        <f t="shared" si="3"/>
        <v/>
      </c>
    </row>
    <row r="73" ht="15.75" customHeight="1">
      <c r="A73" s="25"/>
      <c r="B73" s="26"/>
      <c r="C73" s="27"/>
      <c r="D73" s="8"/>
      <c r="E73" s="25"/>
      <c r="F73" s="26"/>
      <c r="G73" s="27"/>
      <c r="H73" s="8"/>
      <c r="I73" s="25"/>
      <c r="J73" s="26"/>
      <c r="K73" s="27"/>
      <c r="M73" s="23" t="str">
        <f t="array" ref="M73">IFERROR(INDEX(Categorias!$A$2:$A$200,68),"")</f>
        <v/>
      </c>
      <c r="N73" s="24" t="str">
        <f t="shared" si="1"/>
        <v/>
      </c>
      <c r="O73" s="30"/>
      <c r="P73" s="23" t="str">
        <f t="array" ref="P73">IFERROR(INDEX(Categorias!$B$2:$B$200,68),"")</f>
        <v/>
      </c>
      <c r="Q73" s="24" t="str">
        <f t="shared" si="2"/>
        <v/>
      </c>
      <c r="S73" s="23" t="str">
        <f t="array" ref="S73">IFERROR(INDEX(Categorias!$C$2:$C$200,68),"")</f>
        <v/>
      </c>
      <c r="T73" s="24" t="str">
        <f t="shared" si="3"/>
        <v/>
      </c>
    </row>
    <row r="74" ht="15.75" customHeight="1">
      <c r="A74" s="25"/>
      <c r="B74" s="26"/>
      <c r="C74" s="27"/>
      <c r="D74" s="8"/>
      <c r="E74" s="25"/>
      <c r="F74" s="26"/>
      <c r="G74" s="27"/>
      <c r="H74" s="8"/>
      <c r="I74" s="25"/>
      <c r="J74" s="26"/>
      <c r="K74" s="27"/>
      <c r="M74" s="23" t="str">
        <f t="array" ref="M74">IFERROR(INDEX(Categorias!$A$2:$A$200,69),"")</f>
        <v/>
      </c>
      <c r="N74" s="24" t="str">
        <f t="shared" si="1"/>
        <v/>
      </c>
      <c r="O74" s="30"/>
      <c r="P74" s="23" t="str">
        <f t="array" ref="P74">IFERROR(INDEX(Categorias!$B$2:$B$200,69),"")</f>
        <v/>
      </c>
      <c r="Q74" s="24" t="str">
        <f t="shared" si="2"/>
        <v/>
      </c>
      <c r="S74" s="23" t="str">
        <f t="array" ref="S74">IFERROR(INDEX(Categorias!$C$2:$C$200,69),"")</f>
        <v/>
      </c>
      <c r="T74" s="24" t="str">
        <f t="shared" si="3"/>
        <v/>
      </c>
    </row>
    <row r="75" ht="15.75" customHeight="1">
      <c r="A75" s="25"/>
      <c r="B75" s="26"/>
      <c r="C75" s="27"/>
      <c r="D75" s="8"/>
      <c r="E75" s="25"/>
      <c r="F75" s="26"/>
      <c r="G75" s="27"/>
      <c r="H75" s="8"/>
      <c r="I75" s="25"/>
      <c r="J75" s="26"/>
      <c r="K75" s="27"/>
      <c r="M75" s="23" t="str">
        <f t="array" ref="M75">IFERROR(INDEX(Categorias!$A$2:$A$200,70),"")</f>
        <v/>
      </c>
      <c r="N75" s="24" t="str">
        <f t="shared" si="1"/>
        <v/>
      </c>
      <c r="O75" s="30"/>
      <c r="P75" s="23" t="str">
        <f t="array" ref="P75">IFERROR(INDEX(Categorias!$B$2:$B$200,70),"")</f>
        <v/>
      </c>
      <c r="Q75" s="24" t="str">
        <f t="shared" si="2"/>
        <v/>
      </c>
      <c r="S75" s="23" t="str">
        <f t="array" ref="S75">IFERROR(INDEX(Categorias!$C$2:$C$200,70),"")</f>
        <v/>
      </c>
      <c r="T75" s="24" t="str">
        <f t="shared" si="3"/>
        <v/>
      </c>
    </row>
    <row r="76" ht="15.75" customHeight="1">
      <c r="A76" s="25"/>
      <c r="B76" s="26"/>
      <c r="C76" s="27"/>
      <c r="D76" s="8"/>
      <c r="E76" s="25"/>
      <c r="F76" s="26"/>
      <c r="G76" s="27"/>
      <c r="H76" s="8"/>
      <c r="I76" s="25"/>
      <c r="J76" s="26"/>
      <c r="K76" s="27"/>
      <c r="M76" s="23" t="str">
        <f t="array" ref="M76">IFERROR(INDEX(Categorias!$A$2:$A$200,71),"")</f>
        <v/>
      </c>
      <c r="N76" s="24" t="str">
        <f t="shared" si="1"/>
        <v/>
      </c>
      <c r="O76" s="30"/>
      <c r="P76" s="23" t="str">
        <f t="array" ref="P76">IFERROR(INDEX(Categorias!$B$2:$B$200,71),"")</f>
        <v/>
      </c>
      <c r="Q76" s="24" t="str">
        <f t="shared" si="2"/>
        <v/>
      </c>
      <c r="S76" s="23" t="str">
        <f t="array" ref="S76">IFERROR(INDEX(Categorias!$C$2:$C$200,71),"")</f>
        <v/>
      </c>
      <c r="T76" s="24" t="str">
        <f t="shared" si="3"/>
        <v/>
      </c>
    </row>
    <row r="77" ht="15.75" customHeight="1">
      <c r="A77" s="25"/>
      <c r="B77" s="26"/>
      <c r="C77" s="27"/>
      <c r="D77" s="8"/>
      <c r="E77" s="25"/>
      <c r="F77" s="26"/>
      <c r="G77" s="27"/>
      <c r="H77" s="8"/>
      <c r="I77" s="25"/>
      <c r="J77" s="26"/>
      <c r="K77" s="27"/>
      <c r="M77" s="23" t="str">
        <f t="array" ref="M77">IFERROR(INDEX(Categorias!$A$2:$A$200,72),"")</f>
        <v/>
      </c>
      <c r="N77" s="24" t="str">
        <f t="shared" si="1"/>
        <v/>
      </c>
      <c r="O77" s="30"/>
      <c r="P77" s="23" t="str">
        <f t="array" ref="P77">IFERROR(INDEX(Categorias!$B$2:$B$200,72),"")</f>
        <v/>
      </c>
      <c r="Q77" s="24" t="str">
        <f t="shared" si="2"/>
        <v/>
      </c>
      <c r="S77" s="23" t="str">
        <f t="array" ref="S77">IFERROR(INDEX(Categorias!$C$2:$C$200,72),"")</f>
        <v/>
      </c>
      <c r="T77" s="24" t="str">
        <f t="shared" si="3"/>
        <v/>
      </c>
    </row>
    <row r="78" ht="15.75" customHeight="1">
      <c r="A78" s="25"/>
      <c r="B78" s="26"/>
      <c r="C78" s="27"/>
      <c r="D78" s="8"/>
      <c r="E78" s="25"/>
      <c r="F78" s="26"/>
      <c r="G78" s="27"/>
      <c r="H78" s="8"/>
      <c r="I78" s="25"/>
      <c r="J78" s="26"/>
      <c r="K78" s="27"/>
      <c r="M78" s="23" t="str">
        <f t="array" ref="M78">IFERROR(INDEX(Categorias!$A$2:$A$200,73),"")</f>
        <v/>
      </c>
      <c r="N78" s="24" t="str">
        <f t="shared" si="1"/>
        <v/>
      </c>
      <c r="O78" s="30"/>
      <c r="P78" s="23" t="str">
        <f t="array" ref="P78">IFERROR(INDEX(Categorias!$B$2:$B$200,73),"")</f>
        <v/>
      </c>
      <c r="Q78" s="24" t="str">
        <f t="shared" si="2"/>
        <v/>
      </c>
      <c r="S78" s="23" t="str">
        <f t="array" ref="S78">IFERROR(INDEX(Categorias!$C$2:$C$200,73),"")</f>
        <v/>
      </c>
      <c r="T78" s="24" t="str">
        <f t="shared" si="3"/>
        <v/>
      </c>
    </row>
    <row r="79" ht="15.75" customHeight="1">
      <c r="A79" s="25"/>
      <c r="B79" s="26"/>
      <c r="C79" s="27"/>
      <c r="D79" s="8"/>
      <c r="E79" s="25"/>
      <c r="F79" s="26"/>
      <c r="G79" s="27"/>
      <c r="H79" s="8"/>
      <c r="I79" s="25"/>
      <c r="J79" s="26"/>
      <c r="K79" s="27"/>
      <c r="M79" s="23" t="str">
        <f t="array" ref="M79">IFERROR(INDEX(Categorias!$A$2:$A$200,74),"")</f>
        <v/>
      </c>
      <c r="N79" s="24" t="str">
        <f t="shared" si="1"/>
        <v/>
      </c>
      <c r="O79" s="30"/>
      <c r="P79" s="23" t="str">
        <f t="array" ref="P79">IFERROR(INDEX(Categorias!$B$2:$B$200,74),"")</f>
        <v/>
      </c>
      <c r="Q79" s="24" t="str">
        <f t="shared" si="2"/>
        <v/>
      </c>
      <c r="S79" s="23" t="str">
        <f t="array" ref="S79">IFERROR(INDEX(Categorias!$C$2:$C$200,74),"")</f>
        <v/>
      </c>
      <c r="T79" s="24" t="str">
        <f t="shared" si="3"/>
        <v/>
      </c>
    </row>
    <row r="80" ht="15.75" customHeight="1">
      <c r="A80" s="25"/>
      <c r="B80" s="26"/>
      <c r="C80" s="27"/>
      <c r="D80" s="8"/>
      <c r="E80" s="25"/>
      <c r="F80" s="26"/>
      <c r="G80" s="27"/>
      <c r="H80" s="8"/>
      <c r="I80" s="25"/>
      <c r="J80" s="26"/>
      <c r="K80" s="27"/>
      <c r="M80" s="23" t="str">
        <f t="array" ref="M80">IFERROR(INDEX(Categorias!$A$2:$A$200,75),"")</f>
        <v/>
      </c>
      <c r="N80" s="24" t="str">
        <f t="shared" si="1"/>
        <v/>
      </c>
      <c r="O80" s="30"/>
      <c r="P80" s="23" t="str">
        <f t="array" ref="P80">IFERROR(INDEX(Categorias!$B$2:$B$200,75),"")</f>
        <v/>
      </c>
      <c r="Q80" s="24" t="str">
        <f t="shared" si="2"/>
        <v/>
      </c>
      <c r="S80" s="23" t="str">
        <f t="array" ref="S80">IFERROR(INDEX(Categorias!$C$2:$C$200,75),"")</f>
        <v/>
      </c>
      <c r="T80" s="24" t="str">
        <f t="shared" si="3"/>
        <v/>
      </c>
    </row>
    <row r="81" ht="15.75" customHeight="1">
      <c r="A81" s="25"/>
      <c r="B81" s="26"/>
      <c r="C81" s="27"/>
      <c r="D81" s="8"/>
      <c r="E81" s="25"/>
      <c r="F81" s="26"/>
      <c r="G81" s="27"/>
      <c r="H81" s="8"/>
      <c r="I81" s="25"/>
      <c r="J81" s="26"/>
      <c r="K81" s="27"/>
      <c r="M81" s="23" t="str">
        <f t="array" ref="M81">IFERROR(INDEX(Categorias!$A$2:$A$200,76),"")</f>
        <v/>
      </c>
      <c r="N81" s="24" t="str">
        <f t="shared" si="1"/>
        <v/>
      </c>
      <c r="O81" s="30"/>
      <c r="P81" s="23" t="str">
        <f t="array" ref="P81">IFERROR(INDEX(Categorias!$B$2:$B$200,76),"")</f>
        <v/>
      </c>
      <c r="Q81" s="24" t="str">
        <f t="shared" si="2"/>
        <v/>
      </c>
      <c r="S81" s="23" t="str">
        <f t="array" ref="S81">IFERROR(INDEX(Categorias!$C$2:$C$200,76),"")</f>
        <v/>
      </c>
      <c r="T81" s="24" t="str">
        <f t="shared" si="3"/>
        <v/>
      </c>
    </row>
    <row r="82" ht="15.75" customHeight="1">
      <c r="A82" s="25"/>
      <c r="B82" s="26"/>
      <c r="C82" s="27"/>
      <c r="D82" s="8"/>
      <c r="E82" s="25"/>
      <c r="F82" s="26"/>
      <c r="G82" s="27"/>
      <c r="H82" s="8"/>
      <c r="I82" s="25"/>
      <c r="J82" s="26"/>
      <c r="K82" s="27"/>
      <c r="M82" s="23" t="str">
        <f t="array" ref="M82">IFERROR(INDEX(Categorias!$A$2:$A$200,77),"")</f>
        <v/>
      </c>
      <c r="N82" s="24" t="str">
        <f t="shared" si="1"/>
        <v/>
      </c>
      <c r="O82" s="30"/>
      <c r="P82" s="23" t="str">
        <f t="array" ref="P82">IFERROR(INDEX(Categorias!$B$2:$B$200,77),"")</f>
        <v/>
      </c>
      <c r="Q82" s="24" t="str">
        <f t="shared" si="2"/>
        <v/>
      </c>
      <c r="S82" s="23" t="str">
        <f t="array" ref="S82">IFERROR(INDEX(Categorias!$C$2:$C$200,77),"")</f>
        <v/>
      </c>
      <c r="T82" s="24" t="str">
        <f t="shared" si="3"/>
        <v/>
      </c>
    </row>
    <row r="83" ht="15.75" customHeight="1">
      <c r="A83" s="25"/>
      <c r="B83" s="26"/>
      <c r="C83" s="27"/>
      <c r="D83" s="8"/>
      <c r="E83" s="25"/>
      <c r="F83" s="26"/>
      <c r="G83" s="27"/>
      <c r="H83" s="8"/>
      <c r="I83" s="25"/>
      <c r="J83" s="26"/>
      <c r="K83" s="27"/>
      <c r="M83" s="23" t="str">
        <f t="array" ref="M83">IFERROR(INDEX(Categorias!$A$2:$A$200,78),"")</f>
        <v/>
      </c>
      <c r="N83" s="24" t="str">
        <f t="shared" si="1"/>
        <v/>
      </c>
      <c r="O83" s="30"/>
      <c r="P83" s="23" t="str">
        <f t="array" ref="P83">IFERROR(INDEX(Categorias!$B$2:$B$200,78),"")</f>
        <v/>
      </c>
      <c r="Q83" s="24" t="str">
        <f t="shared" si="2"/>
        <v/>
      </c>
      <c r="S83" s="23" t="str">
        <f t="array" ref="S83">IFERROR(INDEX(Categorias!$C$2:$C$200,78),"")</f>
        <v/>
      </c>
      <c r="T83" s="24" t="str">
        <f t="shared" si="3"/>
        <v/>
      </c>
    </row>
    <row r="84" ht="15.75" customHeight="1">
      <c r="A84" s="25"/>
      <c r="B84" s="26"/>
      <c r="C84" s="27"/>
      <c r="D84" s="8"/>
      <c r="E84" s="25"/>
      <c r="F84" s="26"/>
      <c r="G84" s="27"/>
      <c r="H84" s="8"/>
      <c r="I84" s="25"/>
      <c r="J84" s="26"/>
      <c r="K84" s="27"/>
      <c r="M84" s="23" t="str">
        <f t="array" ref="M84">IFERROR(INDEX(Categorias!$A$2:$A$200,79),"")</f>
        <v/>
      </c>
      <c r="N84" s="24" t="str">
        <f t="shared" si="1"/>
        <v/>
      </c>
      <c r="O84" s="30"/>
      <c r="P84" s="23" t="str">
        <f t="array" ref="P84">IFERROR(INDEX(Categorias!$B$2:$B$200,79),"")</f>
        <v/>
      </c>
      <c r="Q84" s="24" t="str">
        <f t="shared" si="2"/>
        <v/>
      </c>
      <c r="S84" s="23" t="str">
        <f t="array" ref="S84">IFERROR(INDEX(Categorias!$C$2:$C$200,79),"")</f>
        <v/>
      </c>
      <c r="T84" s="24" t="str">
        <f t="shared" si="3"/>
        <v/>
      </c>
    </row>
    <row r="85" ht="15.75" customHeight="1">
      <c r="A85" s="25"/>
      <c r="B85" s="26"/>
      <c r="C85" s="27"/>
      <c r="D85" s="8"/>
      <c r="E85" s="25"/>
      <c r="F85" s="26"/>
      <c r="G85" s="27"/>
      <c r="H85" s="8"/>
      <c r="I85" s="25"/>
      <c r="J85" s="26"/>
      <c r="K85" s="27"/>
      <c r="M85" s="23" t="str">
        <f t="array" ref="M85">IFERROR(INDEX(Categorias!$A$2:$A$200,80),"")</f>
        <v/>
      </c>
      <c r="N85" s="24" t="str">
        <f t="shared" si="1"/>
        <v/>
      </c>
      <c r="O85" s="30"/>
      <c r="P85" s="23" t="str">
        <f t="array" ref="P85">IFERROR(INDEX(Categorias!$B$2:$B$200,80),"")</f>
        <v/>
      </c>
      <c r="Q85" s="24" t="str">
        <f t="shared" si="2"/>
        <v/>
      </c>
      <c r="S85" s="23" t="str">
        <f t="array" ref="S85">IFERROR(INDEX(Categorias!$C$2:$C$200,80),"")</f>
        <v/>
      </c>
      <c r="T85" s="24" t="str">
        <f t="shared" si="3"/>
        <v/>
      </c>
    </row>
    <row r="86" ht="15.75" customHeight="1">
      <c r="A86" s="25"/>
      <c r="B86" s="26"/>
      <c r="C86" s="27"/>
      <c r="D86" s="8"/>
      <c r="E86" s="25"/>
      <c r="F86" s="26"/>
      <c r="G86" s="27"/>
      <c r="H86" s="8"/>
      <c r="I86" s="25"/>
      <c r="J86" s="26"/>
      <c r="K86" s="27"/>
      <c r="M86" s="23" t="str">
        <f t="array" ref="M86">IFERROR(INDEX(Categorias!$A$2:$A$200,81),"")</f>
        <v/>
      </c>
      <c r="N86" s="24" t="str">
        <f t="shared" si="1"/>
        <v/>
      </c>
      <c r="O86" s="30"/>
      <c r="P86" s="23" t="str">
        <f t="array" ref="P86">IFERROR(INDEX(Categorias!$B$2:$B$200,81),"")</f>
        <v/>
      </c>
      <c r="Q86" s="24" t="str">
        <f t="shared" si="2"/>
        <v/>
      </c>
      <c r="S86" s="23" t="str">
        <f t="array" ref="S86">IFERROR(INDEX(Categorias!$C$2:$C$200,81),"")</f>
        <v/>
      </c>
      <c r="T86" s="24" t="str">
        <f t="shared" si="3"/>
        <v/>
      </c>
    </row>
    <row r="87" ht="15.75" customHeight="1">
      <c r="A87" s="25"/>
      <c r="B87" s="26"/>
      <c r="C87" s="27"/>
      <c r="D87" s="8"/>
      <c r="E87" s="25"/>
      <c r="F87" s="26"/>
      <c r="G87" s="27"/>
      <c r="H87" s="8"/>
      <c r="I87" s="25"/>
      <c r="J87" s="26"/>
      <c r="K87" s="27"/>
      <c r="M87" s="23" t="str">
        <f t="array" ref="M87">IFERROR(INDEX(Categorias!$A$2:$A$200,82),"")</f>
        <v/>
      </c>
      <c r="N87" s="24" t="str">
        <f t="shared" si="1"/>
        <v/>
      </c>
      <c r="O87" s="30"/>
      <c r="P87" s="23" t="str">
        <f t="array" ref="P87">IFERROR(INDEX(Categorias!$B$2:$B$200,82),"")</f>
        <v/>
      </c>
      <c r="Q87" s="24" t="str">
        <f t="shared" si="2"/>
        <v/>
      </c>
      <c r="S87" s="23" t="str">
        <f t="array" ref="S87">IFERROR(INDEX(Categorias!$C$2:$C$200,82),"")</f>
        <v/>
      </c>
      <c r="T87" s="24" t="str">
        <f t="shared" si="3"/>
        <v/>
      </c>
    </row>
    <row r="88" ht="15.75" customHeight="1">
      <c r="A88" s="25"/>
      <c r="B88" s="26"/>
      <c r="C88" s="27"/>
      <c r="D88" s="8"/>
      <c r="E88" s="25"/>
      <c r="F88" s="26"/>
      <c r="G88" s="27"/>
      <c r="H88" s="8"/>
      <c r="I88" s="25"/>
      <c r="J88" s="26"/>
      <c r="K88" s="27"/>
      <c r="M88" s="23" t="str">
        <f t="array" ref="M88">IFERROR(INDEX(Categorias!$A$2:$A$200,83),"")</f>
        <v/>
      </c>
      <c r="N88" s="24" t="str">
        <f t="shared" si="1"/>
        <v/>
      </c>
      <c r="O88" s="30"/>
      <c r="P88" s="23" t="str">
        <f t="array" ref="P88">IFERROR(INDEX(Categorias!$B$2:$B$200,83),"")</f>
        <v/>
      </c>
      <c r="Q88" s="24" t="str">
        <f t="shared" si="2"/>
        <v/>
      </c>
      <c r="S88" s="23" t="str">
        <f t="array" ref="S88">IFERROR(INDEX(Categorias!$C$2:$C$200,83),"")</f>
        <v/>
      </c>
      <c r="T88" s="24" t="str">
        <f t="shared" si="3"/>
        <v/>
      </c>
    </row>
    <row r="89" ht="15.75" customHeight="1">
      <c r="A89" s="25"/>
      <c r="B89" s="26"/>
      <c r="C89" s="27"/>
      <c r="D89" s="8"/>
      <c r="E89" s="25"/>
      <c r="F89" s="26"/>
      <c r="G89" s="27"/>
      <c r="H89" s="8"/>
      <c r="I89" s="25"/>
      <c r="J89" s="26"/>
      <c r="K89" s="27"/>
      <c r="M89" s="23" t="str">
        <f t="array" ref="M89">IFERROR(INDEX(Categorias!$A$2:$A$200,84),"")</f>
        <v/>
      </c>
      <c r="N89" s="24" t="str">
        <f t="shared" si="1"/>
        <v/>
      </c>
      <c r="O89" s="30"/>
      <c r="P89" s="23" t="str">
        <f t="array" ref="P89">IFERROR(INDEX(Categorias!$B$2:$B$200,84),"")</f>
        <v/>
      </c>
      <c r="Q89" s="24" t="str">
        <f t="shared" si="2"/>
        <v/>
      </c>
      <c r="S89" s="23" t="str">
        <f t="array" ref="S89">IFERROR(INDEX(Categorias!$C$2:$C$200,84),"")</f>
        <v/>
      </c>
      <c r="T89" s="24" t="str">
        <f t="shared" si="3"/>
        <v/>
      </c>
    </row>
    <row r="90" ht="15.75" customHeight="1">
      <c r="A90" s="25"/>
      <c r="B90" s="26"/>
      <c r="C90" s="27"/>
      <c r="D90" s="8"/>
      <c r="E90" s="25"/>
      <c r="F90" s="26"/>
      <c r="G90" s="27"/>
      <c r="H90" s="8"/>
      <c r="I90" s="25"/>
      <c r="J90" s="26"/>
      <c r="K90" s="27"/>
      <c r="M90" s="23" t="str">
        <f t="array" ref="M90">IFERROR(INDEX(Categorias!$A$2:$A$200,85),"")</f>
        <v/>
      </c>
      <c r="N90" s="24" t="str">
        <f t="shared" si="1"/>
        <v/>
      </c>
      <c r="O90" s="30"/>
      <c r="P90" s="23" t="str">
        <f t="array" ref="P90">IFERROR(INDEX(Categorias!$B$2:$B$200,85),"")</f>
        <v/>
      </c>
      <c r="Q90" s="24" t="str">
        <f t="shared" si="2"/>
        <v/>
      </c>
      <c r="S90" s="23" t="str">
        <f t="array" ref="S90">IFERROR(INDEX(Categorias!$C$2:$C$200,85),"")</f>
        <v/>
      </c>
      <c r="T90" s="24" t="str">
        <f t="shared" si="3"/>
        <v/>
      </c>
    </row>
    <row r="91" ht="15.75" customHeight="1">
      <c r="A91" s="25"/>
      <c r="B91" s="26"/>
      <c r="C91" s="27"/>
      <c r="D91" s="8"/>
      <c r="E91" s="25"/>
      <c r="F91" s="26"/>
      <c r="G91" s="27"/>
      <c r="H91" s="8"/>
      <c r="I91" s="25"/>
      <c r="J91" s="26"/>
      <c r="K91" s="27"/>
      <c r="M91" s="23" t="str">
        <f t="array" ref="M91">IFERROR(INDEX(Categorias!$A$2:$A$200,86),"")</f>
        <v/>
      </c>
      <c r="N91" s="24" t="str">
        <f t="shared" si="1"/>
        <v/>
      </c>
      <c r="O91" s="30"/>
      <c r="P91" s="23" t="str">
        <f t="array" ref="P91">IFERROR(INDEX(Categorias!$B$2:$B$200,86),"")</f>
        <v/>
      </c>
      <c r="Q91" s="24" t="str">
        <f t="shared" si="2"/>
        <v/>
      </c>
      <c r="S91" s="23" t="str">
        <f t="array" ref="S91">IFERROR(INDEX(Categorias!$C$2:$C$200,86),"")</f>
        <v/>
      </c>
      <c r="T91" s="24" t="str">
        <f t="shared" si="3"/>
        <v/>
      </c>
    </row>
    <row r="92" ht="15.75" customHeight="1">
      <c r="A92" s="25"/>
      <c r="B92" s="26"/>
      <c r="C92" s="27"/>
      <c r="D92" s="8"/>
      <c r="E92" s="25"/>
      <c r="F92" s="26"/>
      <c r="G92" s="27"/>
      <c r="H92" s="8"/>
      <c r="I92" s="25"/>
      <c r="J92" s="26"/>
      <c r="K92" s="27"/>
      <c r="M92" s="23" t="str">
        <f t="array" ref="M92">IFERROR(INDEX(Categorias!$A$2:$A$200,87),"")</f>
        <v/>
      </c>
      <c r="N92" s="24" t="str">
        <f t="shared" si="1"/>
        <v/>
      </c>
      <c r="O92" s="30"/>
      <c r="P92" s="23" t="str">
        <f t="array" ref="P92">IFERROR(INDEX(Categorias!$B$2:$B$200,87),"")</f>
        <v/>
      </c>
      <c r="Q92" s="24" t="str">
        <f t="shared" si="2"/>
        <v/>
      </c>
      <c r="S92" s="23" t="str">
        <f t="array" ref="S92">IFERROR(INDEX(Categorias!$C$2:$C$200,87),"")</f>
        <v/>
      </c>
      <c r="T92" s="24" t="str">
        <f t="shared" si="3"/>
        <v/>
      </c>
    </row>
    <row r="93" ht="15.75" customHeight="1">
      <c r="A93" s="25"/>
      <c r="B93" s="26"/>
      <c r="C93" s="27"/>
      <c r="D93" s="8"/>
      <c r="E93" s="25"/>
      <c r="F93" s="26"/>
      <c r="G93" s="27"/>
      <c r="H93" s="8"/>
      <c r="I93" s="25"/>
      <c r="J93" s="26"/>
      <c r="K93" s="27"/>
      <c r="M93" s="23" t="str">
        <f t="array" ref="M93">IFERROR(INDEX(Categorias!$A$2:$A$200,88),"")</f>
        <v/>
      </c>
      <c r="N93" s="24" t="str">
        <f t="shared" si="1"/>
        <v/>
      </c>
      <c r="O93" s="30"/>
      <c r="P93" s="23" t="str">
        <f t="array" ref="P93">IFERROR(INDEX(Categorias!$B$2:$B$200,88),"")</f>
        <v/>
      </c>
      <c r="Q93" s="24" t="str">
        <f t="shared" si="2"/>
        <v/>
      </c>
      <c r="S93" s="23" t="str">
        <f t="array" ref="S93">IFERROR(INDEX(Categorias!$C$2:$C$200,88),"")</f>
        <v/>
      </c>
      <c r="T93" s="24" t="str">
        <f t="shared" si="3"/>
        <v/>
      </c>
    </row>
    <row r="94" ht="15.75" customHeight="1">
      <c r="A94" s="25"/>
      <c r="B94" s="26"/>
      <c r="C94" s="27"/>
      <c r="D94" s="8"/>
      <c r="E94" s="25"/>
      <c r="F94" s="26"/>
      <c r="G94" s="27"/>
      <c r="H94" s="8"/>
      <c r="I94" s="25"/>
      <c r="J94" s="26"/>
      <c r="K94" s="27"/>
      <c r="M94" s="23" t="str">
        <f t="array" ref="M94">IFERROR(INDEX(Categorias!$A$2:$A$200,89),"")</f>
        <v/>
      </c>
      <c r="N94" s="24" t="str">
        <f t="shared" si="1"/>
        <v/>
      </c>
      <c r="O94" s="30"/>
      <c r="P94" s="23" t="str">
        <f t="array" ref="P94">IFERROR(INDEX(Categorias!$B$2:$B$200,89),"")</f>
        <v/>
      </c>
      <c r="Q94" s="24" t="str">
        <f t="shared" si="2"/>
        <v/>
      </c>
      <c r="S94" s="23" t="str">
        <f t="array" ref="S94">IFERROR(INDEX(Categorias!$C$2:$C$200,89),"")</f>
        <v/>
      </c>
      <c r="T94" s="24" t="str">
        <f t="shared" si="3"/>
        <v/>
      </c>
    </row>
    <row r="95" ht="15.75" customHeight="1">
      <c r="A95" s="25"/>
      <c r="B95" s="26"/>
      <c r="C95" s="27"/>
      <c r="D95" s="8"/>
      <c r="E95" s="25"/>
      <c r="F95" s="26"/>
      <c r="G95" s="27"/>
      <c r="H95" s="8"/>
      <c r="I95" s="25"/>
      <c r="J95" s="26"/>
      <c r="K95" s="27"/>
      <c r="M95" s="23" t="str">
        <f t="array" ref="M95">IFERROR(INDEX(Categorias!$A$2:$A$200,90),"")</f>
        <v/>
      </c>
      <c r="N95" s="24" t="str">
        <f t="shared" si="1"/>
        <v/>
      </c>
      <c r="O95" s="30"/>
      <c r="P95" s="23" t="str">
        <f t="array" ref="P95">IFERROR(INDEX(Categorias!$B$2:$B$200,90),"")</f>
        <v/>
      </c>
      <c r="Q95" s="24" t="str">
        <f t="shared" si="2"/>
        <v/>
      </c>
      <c r="S95" s="23" t="str">
        <f t="array" ref="S95">IFERROR(INDEX(Categorias!$C$2:$C$200,90),"")</f>
        <v/>
      </c>
      <c r="T95" s="24" t="str">
        <f t="shared" si="3"/>
        <v/>
      </c>
    </row>
    <row r="96" ht="15.75" customHeight="1">
      <c r="A96" s="25"/>
      <c r="B96" s="26"/>
      <c r="C96" s="27"/>
      <c r="D96" s="8"/>
      <c r="E96" s="25"/>
      <c r="F96" s="26"/>
      <c r="G96" s="27"/>
      <c r="H96" s="8"/>
      <c r="I96" s="25"/>
      <c r="J96" s="26"/>
      <c r="K96" s="27"/>
      <c r="M96" s="23" t="str">
        <f t="array" ref="M96">IFERROR(INDEX(Categorias!$A$2:$A$200,91),"")</f>
        <v/>
      </c>
      <c r="N96" s="24" t="str">
        <f t="shared" si="1"/>
        <v/>
      </c>
      <c r="O96" s="30"/>
      <c r="P96" s="23" t="str">
        <f t="array" ref="P96">IFERROR(INDEX(Categorias!$B$2:$B$200,91),"")</f>
        <v/>
      </c>
      <c r="Q96" s="24" t="str">
        <f t="shared" si="2"/>
        <v/>
      </c>
      <c r="S96" s="23" t="str">
        <f t="array" ref="S96">IFERROR(INDEX(Categorias!$C$2:$C$200,91),"")</f>
        <v/>
      </c>
      <c r="T96" s="24" t="str">
        <f t="shared" si="3"/>
        <v/>
      </c>
    </row>
    <row r="97" ht="15.75" customHeight="1">
      <c r="A97" s="25"/>
      <c r="B97" s="26"/>
      <c r="C97" s="27"/>
      <c r="D97" s="8"/>
      <c r="E97" s="25"/>
      <c r="F97" s="26"/>
      <c r="G97" s="27"/>
      <c r="H97" s="8"/>
      <c r="I97" s="25"/>
      <c r="J97" s="26"/>
      <c r="K97" s="27"/>
      <c r="M97" s="23" t="str">
        <f t="array" ref="M97">IFERROR(INDEX(Categorias!$A$2:$A$200,92),"")</f>
        <v/>
      </c>
      <c r="N97" s="24" t="str">
        <f t="shared" si="1"/>
        <v/>
      </c>
      <c r="O97" s="30"/>
      <c r="P97" s="23" t="str">
        <f t="array" ref="P97">IFERROR(INDEX(Categorias!$B$2:$B$200,92),"")</f>
        <v/>
      </c>
      <c r="Q97" s="24" t="str">
        <f t="shared" si="2"/>
        <v/>
      </c>
      <c r="S97" s="23" t="str">
        <f t="array" ref="S97">IFERROR(INDEX(Categorias!$C$2:$C$200,92),"")</f>
        <v/>
      </c>
      <c r="T97" s="24" t="str">
        <f t="shared" si="3"/>
        <v/>
      </c>
    </row>
    <row r="98" ht="15.75" customHeight="1">
      <c r="A98" s="25"/>
      <c r="B98" s="26"/>
      <c r="C98" s="27"/>
      <c r="D98" s="8"/>
      <c r="E98" s="25"/>
      <c r="F98" s="26"/>
      <c r="G98" s="27"/>
      <c r="H98" s="8"/>
      <c r="I98" s="25"/>
      <c r="J98" s="26"/>
      <c r="K98" s="27"/>
      <c r="M98" s="23" t="str">
        <f t="array" ref="M98">IFERROR(INDEX(Categorias!$A$2:$A$200,93),"")</f>
        <v/>
      </c>
      <c r="N98" s="24" t="str">
        <f t="shared" si="1"/>
        <v/>
      </c>
      <c r="O98" s="30"/>
      <c r="P98" s="23" t="str">
        <f t="array" ref="P98">IFERROR(INDEX(Categorias!$B$2:$B$200,93),"")</f>
        <v/>
      </c>
      <c r="Q98" s="24" t="str">
        <f t="shared" si="2"/>
        <v/>
      </c>
      <c r="S98" s="23" t="str">
        <f t="array" ref="S98">IFERROR(INDEX(Categorias!$C$2:$C$200,93),"")</f>
        <v/>
      </c>
      <c r="T98" s="24" t="str">
        <f t="shared" si="3"/>
        <v/>
      </c>
    </row>
    <row r="99" ht="15.75" customHeight="1">
      <c r="A99" s="25"/>
      <c r="B99" s="26"/>
      <c r="C99" s="27"/>
      <c r="D99" s="8"/>
      <c r="E99" s="25"/>
      <c r="F99" s="26"/>
      <c r="G99" s="27"/>
      <c r="H99" s="8"/>
      <c r="I99" s="25"/>
      <c r="J99" s="26"/>
      <c r="K99" s="27"/>
      <c r="M99" s="23" t="str">
        <f t="array" ref="M99">IFERROR(INDEX(Categorias!$A$2:$A$200,94),"")</f>
        <v/>
      </c>
      <c r="N99" s="24" t="str">
        <f t="shared" si="1"/>
        <v/>
      </c>
      <c r="O99" s="30"/>
      <c r="P99" s="23" t="str">
        <f t="array" ref="P99">IFERROR(INDEX(Categorias!$B$2:$B$200,94),"")</f>
        <v/>
      </c>
      <c r="Q99" s="24" t="str">
        <f t="shared" si="2"/>
        <v/>
      </c>
      <c r="S99" s="23" t="str">
        <f t="array" ref="S99">IFERROR(INDEX(Categorias!$C$2:$C$200,94),"")</f>
        <v/>
      </c>
      <c r="T99" s="24" t="str">
        <f t="shared" si="3"/>
        <v/>
      </c>
    </row>
    <row r="100" ht="15.75" customHeight="1">
      <c r="A100" s="25"/>
      <c r="B100" s="26"/>
      <c r="C100" s="27"/>
      <c r="D100" s="8"/>
      <c r="E100" s="25"/>
      <c r="F100" s="26"/>
      <c r="G100" s="27"/>
      <c r="H100" s="8"/>
      <c r="I100" s="25"/>
      <c r="J100" s="26"/>
      <c r="K100" s="27"/>
      <c r="M100" s="23" t="str">
        <f t="array" ref="M100">IFERROR(INDEX(Categorias!$A$2:$A$200,95),"")</f>
        <v/>
      </c>
      <c r="N100" s="24" t="str">
        <f t="shared" si="1"/>
        <v/>
      </c>
      <c r="O100" s="30"/>
      <c r="P100" s="23" t="str">
        <f t="array" ref="P100">IFERROR(INDEX(Categorias!$B$2:$B$200,95),"")</f>
        <v/>
      </c>
      <c r="Q100" s="24" t="str">
        <f t="shared" si="2"/>
        <v/>
      </c>
      <c r="S100" s="23" t="str">
        <f t="array" ref="S100">IFERROR(INDEX(Categorias!$C$2:$C$200,95),"")</f>
        <v/>
      </c>
      <c r="T100" s="24" t="str">
        <f t="shared" si="3"/>
        <v/>
      </c>
    </row>
    <row r="101" ht="15.75" customHeight="1">
      <c r="A101" s="25"/>
      <c r="B101" s="26"/>
      <c r="C101" s="27"/>
      <c r="D101" s="8"/>
      <c r="E101" s="25"/>
      <c r="F101" s="26"/>
      <c r="G101" s="27"/>
      <c r="H101" s="8"/>
      <c r="I101" s="25"/>
      <c r="J101" s="26"/>
      <c r="K101" s="27"/>
      <c r="M101" s="23" t="str">
        <f t="array" ref="M101">IFERROR(INDEX(Categorias!$A$2:$A$200,96),"")</f>
        <v/>
      </c>
      <c r="N101" s="24" t="str">
        <f t="shared" si="1"/>
        <v/>
      </c>
      <c r="O101" s="30"/>
      <c r="P101" s="23" t="str">
        <f t="array" ref="P101">IFERROR(INDEX(Categorias!$B$2:$B$200,96),"")</f>
        <v/>
      </c>
      <c r="Q101" s="24" t="str">
        <f t="shared" si="2"/>
        <v/>
      </c>
      <c r="S101" s="23" t="str">
        <f t="array" ref="S101">IFERROR(INDEX(Categorias!$C$2:$C$200,96),"")</f>
        <v/>
      </c>
      <c r="T101" s="24" t="str">
        <f t="shared" si="3"/>
        <v/>
      </c>
    </row>
    <row r="102" ht="15.75" customHeight="1">
      <c r="A102" s="25"/>
      <c r="B102" s="26"/>
      <c r="C102" s="27"/>
      <c r="D102" s="8"/>
      <c r="E102" s="25"/>
      <c r="F102" s="26"/>
      <c r="G102" s="27"/>
      <c r="H102" s="8"/>
      <c r="I102" s="25"/>
      <c r="J102" s="26"/>
      <c r="K102" s="27"/>
      <c r="M102" s="23" t="str">
        <f t="array" ref="M102">IFERROR(INDEX(Categorias!$A$2:$A$200,97),"")</f>
        <v/>
      </c>
      <c r="N102" s="24" t="str">
        <f t="shared" si="1"/>
        <v/>
      </c>
      <c r="O102" s="30"/>
      <c r="P102" s="23" t="str">
        <f t="array" ref="P102">IFERROR(INDEX(Categorias!$B$2:$B$200,97),"")</f>
        <v/>
      </c>
      <c r="Q102" s="24" t="str">
        <f t="shared" si="2"/>
        <v/>
      </c>
      <c r="S102" s="23" t="str">
        <f t="array" ref="S102">IFERROR(INDEX(Categorias!$C$2:$C$200,97),"")</f>
        <v/>
      </c>
      <c r="T102" s="24" t="str">
        <f t="shared" si="3"/>
        <v/>
      </c>
    </row>
    <row r="103" ht="15.75" customHeight="1">
      <c r="A103" s="25"/>
      <c r="B103" s="26"/>
      <c r="C103" s="27"/>
      <c r="D103" s="8"/>
      <c r="E103" s="25"/>
      <c r="F103" s="26"/>
      <c r="G103" s="27"/>
      <c r="H103" s="8"/>
      <c r="I103" s="25"/>
      <c r="J103" s="26"/>
      <c r="K103" s="27"/>
      <c r="M103" s="23" t="str">
        <f t="array" ref="M103">IFERROR(INDEX(Categorias!$A$2:$A$200,98),"")</f>
        <v/>
      </c>
      <c r="N103" s="24" t="str">
        <f t="shared" si="1"/>
        <v/>
      </c>
      <c r="O103" s="30"/>
      <c r="P103" s="23" t="str">
        <f t="array" ref="P103">IFERROR(INDEX(Categorias!$B$2:$B$200,98),"")</f>
        <v/>
      </c>
      <c r="Q103" s="24" t="str">
        <f t="shared" si="2"/>
        <v/>
      </c>
      <c r="S103" s="23" t="str">
        <f t="array" ref="S103">IFERROR(INDEX(Categorias!$C$2:$C$200,98),"")</f>
        <v/>
      </c>
      <c r="T103" s="24" t="str">
        <f t="shared" si="3"/>
        <v/>
      </c>
    </row>
    <row r="104" ht="15.75" customHeight="1">
      <c r="A104" s="25"/>
      <c r="B104" s="26"/>
      <c r="C104" s="27"/>
      <c r="D104" s="8"/>
      <c r="E104" s="25"/>
      <c r="F104" s="26"/>
      <c r="G104" s="27"/>
      <c r="H104" s="8"/>
      <c r="I104" s="25"/>
      <c r="J104" s="26"/>
      <c r="K104" s="27"/>
      <c r="M104" s="23" t="str">
        <f t="array" ref="M104">IFERROR(INDEX(Categorias!$A$2:$A$200,99),"")</f>
        <v/>
      </c>
      <c r="N104" s="24" t="str">
        <f t="shared" si="1"/>
        <v/>
      </c>
      <c r="O104" s="30"/>
      <c r="P104" s="23" t="str">
        <f t="array" ref="P104">IFERROR(INDEX(Categorias!$B$2:$B$200,99),"")</f>
        <v/>
      </c>
      <c r="Q104" s="24" t="str">
        <f t="shared" si="2"/>
        <v/>
      </c>
      <c r="S104" s="23" t="str">
        <f t="array" ref="S104">IFERROR(INDEX(Categorias!$C$2:$C$200,99),"")</f>
        <v/>
      </c>
      <c r="T104" s="24" t="str">
        <f t="shared" si="3"/>
        <v/>
      </c>
    </row>
    <row r="105" ht="15.75" customHeight="1">
      <c r="A105" s="25"/>
      <c r="B105" s="26"/>
      <c r="C105" s="27"/>
      <c r="D105" s="8"/>
      <c r="E105" s="25"/>
      <c r="F105" s="26"/>
      <c r="G105" s="27"/>
      <c r="H105" s="8"/>
      <c r="I105" s="25"/>
      <c r="J105" s="26"/>
      <c r="K105" s="27"/>
      <c r="M105" s="23" t="str">
        <f t="array" ref="M105">IFERROR(INDEX(Categorias!$A$2:$A$200,100),"")</f>
        <v/>
      </c>
      <c r="N105" s="24" t="str">
        <f t="shared" si="1"/>
        <v/>
      </c>
      <c r="O105" s="30"/>
      <c r="P105" s="23" t="str">
        <f t="array" ref="P105">IFERROR(INDEX(Categorias!$B$2:$B$200,100),"")</f>
        <v/>
      </c>
      <c r="Q105" s="24" t="str">
        <f t="shared" si="2"/>
        <v/>
      </c>
      <c r="S105" s="23" t="str">
        <f t="array" ref="S105">IFERROR(INDEX(Categorias!$C$2:$C$200,100),"")</f>
        <v/>
      </c>
      <c r="T105" s="24" t="str">
        <f t="shared" si="3"/>
        <v/>
      </c>
    </row>
    <row r="106" ht="15.75" customHeight="1">
      <c r="A106" s="25"/>
      <c r="B106" s="26"/>
      <c r="C106" s="27"/>
      <c r="D106" s="8"/>
      <c r="E106" s="25"/>
      <c r="F106" s="26"/>
      <c r="G106" s="27"/>
      <c r="H106" s="8"/>
      <c r="I106" s="25"/>
      <c r="J106" s="26"/>
      <c r="K106" s="27"/>
      <c r="O106" s="30"/>
    </row>
    <row r="107" ht="15.75" customHeight="1">
      <c r="A107" s="25"/>
      <c r="B107" s="26"/>
      <c r="C107" s="27"/>
      <c r="D107" s="8"/>
      <c r="E107" s="25"/>
      <c r="F107" s="26"/>
      <c r="G107" s="27"/>
      <c r="H107" s="8"/>
      <c r="I107" s="25"/>
      <c r="J107" s="26"/>
      <c r="K107" s="27"/>
      <c r="O107" s="30"/>
    </row>
    <row r="108" ht="15.75" customHeight="1">
      <c r="A108" s="25"/>
      <c r="B108" s="26"/>
      <c r="C108" s="27"/>
      <c r="D108" s="8"/>
      <c r="E108" s="25"/>
      <c r="F108" s="26"/>
      <c r="G108" s="27"/>
      <c r="H108" s="8"/>
      <c r="I108" s="25"/>
      <c r="J108" s="26"/>
      <c r="K108" s="27"/>
      <c r="O108" s="30"/>
    </row>
    <row r="109" ht="15.75" customHeight="1">
      <c r="A109" s="25"/>
      <c r="B109" s="26"/>
      <c r="C109" s="27"/>
      <c r="D109" s="8"/>
      <c r="E109" s="25"/>
      <c r="F109" s="26"/>
      <c r="G109" s="27"/>
      <c r="H109" s="8"/>
      <c r="I109" s="25"/>
      <c r="J109" s="26"/>
      <c r="K109" s="27"/>
      <c r="O109" s="30"/>
    </row>
    <row r="110" ht="15.75" customHeight="1">
      <c r="A110" s="25"/>
      <c r="B110" s="26"/>
      <c r="C110" s="27"/>
      <c r="D110" s="8"/>
      <c r="E110" s="25"/>
      <c r="F110" s="26"/>
      <c r="G110" s="27"/>
      <c r="H110" s="8"/>
      <c r="I110" s="25"/>
      <c r="J110" s="26"/>
      <c r="K110" s="27"/>
      <c r="O110" s="30"/>
    </row>
    <row r="111" ht="15.75" customHeight="1">
      <c r="A111" s="25"/>
      <c r="B111" s="26"/>
      <c r="C111" s="27"/>
      <c r="D111" s="8"/>
      <c r="E111" s="25"/>
      <c r="F111" s="26"/>
      <c r="G111" s="27"/>
      <c r="H111" s="8"/>
      <c r="I111" s="25"/>
      <c r="J111" s="26"/>
      <c r="K111" s="27"/>
      <c r="O111" s="30"/>
    </row>
    <row r="112" ht="15.75" customHeight="1">
      <c r="A112" s="25"/>
      <c r="B112" s="26"/>
      <c r="C112" s="27"/>
      <c r="D112" s="8"/>
      <c r="E112" s="25"/>
      <c r="F112" s="26"/>
      <c r="G112" s="27"/>
      <c r="H112" s="8"/>
      <c r="I112" s="25"/>
      <c r="J112" s="26"/>
      <c r="K112" s="27"/>
      <c r="O112" s="30"/>
    </row>
    <row r="113" ht="15.75" customHeight="1">
      <c r="A113" s="25"/>
      <c r="B113" s="26"/>
      <c r="C113" s="27"/>
      <c r="D113" s="8"/>
      <c r="E113" s="25"/>
      <c r="F113" s="26"/>
      <c r="G113" s="27"/>
      <c r="H113" s="8"/>
      <c r="I113" s="25"/>
      <c r="J113" s="26"/>
      <c r="K113" s="27"/>
      <c r="O113" s="30"/>
    </row>
    <row r="114" ht="15.75" customHeight="1">
      <c r="A114" s="25"/>
      <c r="B114" s="26"/>
      <c r="C114" s="27"/>
      <c r="D114" s="8"/>
      <c r="E114" s="25"/>
      <c r="F114" s="26"/>
      <c r="G114" s="27"/>
      <c r="H114" s="8"/>
      <c r="I114" s="25"/>
      <c r="J114" s="26"/>
      <c r="K114" s="27"/>
      <c r="O114" s="30"/>
    </row>
    <row r="115" ht="15.75" customHeight="1">
      <c r="A115" s="25"/>
      <c r="B115" s="26"/>
      <c r="C115" s="27"/>
      <c r="D115" s="8"/>
      <c r="E115" s="25"/>
      <c r="F115" s="26"/>
      <c r="G115" s="27"/>
      <c r="H115" s="8"/>
      <c r="I115" s="25"/>
      <c r="J115" s="26"/>
      <c r="K115" s="27"/>
      <c r="O115" s="30"/>
    </row>
    <row r="116" ht="15.75" customHeight="1">
      <c r="A116" s="25"/>
      <c r="B116" s="26"/>
      <c r="C116" s="27"/>
      <c r="D116" s="8"/>
      <c r="E116" s="25"/>
      <c r="F116" s="26"/>
      <c r="G116" s="27"/>
      <c r="H116" s="8"/>
      <c r="I116" s="25"/>
      <c r="J116" s="26"/>
      <c r="K116" s="27"/>
      <c r="O116" s="30"/>
    </row>
    <row r="117" ht="15.75" customHeight="1">
      <c r="A117" s="25"/>
      <c r="B117" s="26"/>
      <c r="C117" s="27"/>
      <c r="D117" s="8"/>
      <c r="E117" s="25"/>
      <c r="F117" s="26"/>
      <c r="G117" s="27"/>
      <c r="H117" s="8"/>
      <c r="I117" s="25"/>
      <c r="J117" s="26"/>
      <c r="K117" s="27"/>
      <c r="O117" s="30"/>
    </row>
    <row r="118" ht="15.75" customHeight="1">
      <c r="A118" s="25"/>
      <c r="B118" s="26"/>
      <c r="C118" s="27"/>
      <c r="D118" s="8"/>
      <c r="E118" s="25"/>
      <c r="F118" s="26"/>
      <c r="G118" s="27"/>
      <c r="H118" s="8"/>
      <c r="I118" s="25"/>
      <c r="J118" s="26"/>
      <c r="K118" s="27"/>
      <c r="O118" s="30"/>
    </row>
    <row r="119" ht="15.75" customHeight="1">
      <c r="A119" s="25"/>
      <c r="B119" s="26"/>
      <c r="C119" s="27"/>
      <c r="D119" s="8"/>
      <c r="E119" s="25"/>
      <c r="F119" s="26"/>
      <c r="G119" s="27"/>
      <c r="H119" s="8"/>
      <c r="I119" s="25"/>
      <c r="J119" s="26"/>
      <c r="K119" s="27"/>
      <c r="O119" s="30"/>
    </row>
    <row r="120" ht="15.75" customHeight="1">
      <c r="A120" s="25"/>
      <c r="B120" s="26"/>
      <c r="C120" s="27"/>
      <c r="D120" s="8"/>
      <c r="E120" s="25"/>
      <c r="F120" s="26"/>
      <c r="G120" s="27"/>
      <c r="H120" s="8"/>
      <c r="I120" s="25"/>
      <c r="J120" s="26"/>
      <c r="K120" s="27"/>
      <c r="O120" s="30"/>
    </row>
    <row r="121" ht="15.75" customHeight="1">
      <c r="B121" s="24"/>
      <c r="C121" s="23"/>
      <c r="F121" s="24"/>
      <c r="G121" s="23"/>
      <c r="J121" s="24"/>
      <c r="K121" s="23"/>
      <c r="O121" s="30"/>
    </row>
    <row r="122" ht="15.75" customHeight="1">
      <c r="B122" s="24"/>
      <c r="C122" s="23"/>
      <c r="F122" s="24"/>
      <c r="G122" s="23"/>
      <c r="J122" s="24"/>
      <c r="K122" s="23"/>
      <c r="O122" s="30"/>
    </row>
    <row r="123" ht="15.75" customHeight="1">
      <c r="B123" s="24"/>
      <c r="C123" s="23"/>
      <c r="F123" s="24"/>
      <c r="G123" s="23"/>
      <c r="J123" s="24"/>
      <c r="K123" s="23"/>
      <c r="O123" s="30"/>
    </row>
    <row r="124" ht="15.75" customHeight="1">
      <c r="B124" s="24"/>
      <c r="C124" s="23"/>
      <c r="F124" s="24"/>
      <c r="G124" s="23"/>
      <c r="J124" s="24"/>
      <c r="K124" s="23"/>
      <c r="O124" s="30"/>
    </row>
    <row r="125" ht="15.75" customHeight="1">
      <c r="B125" s="24"/>
      <c r="C125" s="23"/>
      <c r="F125" s="24"/>
      <c r="G125" s="23"/>
      <c r="J125" s="24"/>
      <c r="K125" s="23"/>
      <c r="O125" s="30"/>
    </row>
    <row r="126" ht="15.75" customHeight="1">
      <c r="B126" s="24"/>
      <c r="C126" s="23"/>
      <c r="F126" s="24"/>
      <c r="G126" s="23"/>
      <c r="J126" s="24"/>
      <c r="K126" s="23"/>
      <c r="O126" s="30"/>
    </row>
    <row r="127" ht="15.75" customHeight="1">
      <c r="B127" s="24"/>
      <c r="C127" s="23"/>
      <c r="F127" s="24"/>
      <c r="G127" s="23"/>
      <c r="J127" s="24"/>
      <c r="K127" s="23"/>
      <c r="O127" s="30"/>
    </row>
    <row r="128" ht="15.75" customHeight="1">
      <c r="B128" s="24"/>
      <c r="C128" s="23"/>
      <c r="F128" s="24"/>
      <c r="G128" s="23"/>
      <c r="J128" s="24"/>
      <c r="K128" s="23"/>
      <c r="O128" s="30"/>
    </row>
    <row r="129" ht="15.75" customHeight="1">
      <c r="B129" s="24"/>
      <c r="C129" s="23"/>
      <c r="F129" s="24"/>
      <c r="G129" s="23"/>
      <c r="J129" s="24"/>
      <c r="K129" s="23"/>
      <c r="O129" s="30"/>
    </row>
    <row r="130" ht="15.75" customHeight="1">
      <c r="B130" s="24"/>
      <c r="C130" s="23"/>
      <c r="F130" s="24"/>
      <c r="G130" s="23"/>
      <c r="J130" s="24"/>
      <c r="K130" s="23"/>
      <c r="O130" s="30"/>
    </row>
    <row r="131" ht="15.75" customHeight="1">
      <c r="B131" s="24"/>
      <c r="C131" s="23"/>
      <c r="F131" s="24"/>
      <c r="G131" s="23"/>
      <c r="J131" s="24"/>
      <c r="K131" s="23"/>
      <c r="O131" s="30"/>
    </row>
    <row r="132" ht="15.75" customHeight="1">
      <c r="B132" s="24"/>
      <c r="C132" s="23"/>
      <c r="F132" s="24"/>
      <c r="G132" s="23"/>
      <c r="J132" s="24"/>
      <c r="K132" s="23"/>
      <c r="O132" s="30"/>
    </row>
    <row r="133" ht="15.75" customHeight="1">
      <c r="B133" s="24"/>
      <c r="C133" s="23"/>
      <c r="F133" s="24"/>
      <c r="G133" s="23"/>
      <c r="J133" s="24"/>
      <c r="K133" s="23"/>
      <c r="O133" s="30"/>
    </row>
    <row r="134" ht="15.75" customHeight="1">
      <c r="B134" s="24"/>
      <c r="C134" s="23"/>
      <c r="F134" s="24"/>
      <c r="G134" s="23"/>
      <c r="J134" s="24"/>
      <c r="K134" s="23"/>
      <c r="O134" s="30"/>
    </row>
    <row r="135" ht="15.75" customHeight="1">
      <c r="B135" s="24"/>
      <c r="C135" s="23"/>
      <c r="F135" s="24"/>
      <c r="G135" s="23"/>
      <c r="J135" s="24"/>
      <c r="K135" s="23"/>
      <c r="O135" s="30"/>
    </row>
    <row r="136" ht="15.75" customHeight="1">
      <c r="B136" s="24"/>
      <c r="C136" s="23"/>
      <c r="F136" s="24"/>
      <c r="G136" s="23"/>
      <c r="J136" s="24"/>
      <c r="K136" s="23"/>
      <c r="O136" s="30"/>
    </row>
    <row r="137" ht="15.75" customHeight="1">
      <c r="B137" s="24"/>
      <c r="C137" s="23"/>
      <c r="F137" s="24"/>
      <c r="G137" s="23"/>
      <c r="J137" s="24"/>
      <c r="K137" s="23"/>
      <c r="O137" s="30"/>
    </row>
    <row r="138" ht="15.75" customHeight="1">
      <c r="B138" s="24"/>
      <c r="C138" s="23"/>
      <c r="F138" s="24"/>
      <c r="G138" s="23"/>
      <c r="J138" s="24"/>
      <c r="K138" s="23"/>
      <c r="O138" s="30"/>
    </row>
    <row r="139" ht="15.75" customHeight="1">
      <c r="B139" s="24"/>
      <c r="C139" s="23"/>
      <c r="F139" s="24"/>
      <c r="G139" s="23"/>
      <c r="J139" s="24"/>
      <c r="K139" s="23"/>
      <c r="O139" s="30"/>
    </row>
    <row r="140" ht="15.75" customHeight="1">
      <c r="B140" s="24"/>
      <c r="C140" s="23"/>
      <c r="F140" s="24"/>
      <c r="G140" s="23"/>
      <c r="J140" s="24"/>
      <c r="K140" s="23"/>
      <c r="O140" s="30"/>
    </row>
    <row r="141" ht="15.75" customHeight="1">
      <c r="B141" s="24"/>
      <c r="C141" s="23"/>
      <c r="F141" s="24"/>
      <c r="G141" s="23"/>
      <c r="J141" s="24"/>
      <c r="K141" s="23"/>
      <c r="O141" s="30"/>
    </row>
    <row r="142" ht="15.75" customHeight="1">
      <c r="B142" s="24"/>
      <c r="C142" s="23"/>
      <c r="F142" s="24"/>
      <c r="G142" s="23"/>
      <c r="J142" s="24"/>
      <c r="K142" s="23"/>
      <c r="O142" s="30"/>
    </row>
    <row r="143" ht="15.75" customHeight="1">
      <c r="B143" s="24"/>
      <c r="C143" s="23"/>
      <c r="F143" s="24"/>
      <c r="G143" s="23"/>
      <c r="J143" s="24"/>
      <c r="K143" s="23"/>
      <c r="O143" s="30"/>
    </row>
    <row r="144" ht="15.75" customHeight="1">
      <c r="B144" s="24"/>
      <c r="C144" s="23"/>
      <c r="F144" s="24"/>
      <c r="G144" s="23"/>
      <c r="J144" s="24"/>
      <c r="K144" s="23"/>
      <c r="O144" s="30"/>
    </row>
    <row r="145" ht="15.75" customHeight="1">
      <c r="B145" s="24"/>
      <c r="C145" s="23"/>
      <c r="F145" s="24"/>
      <c r="G145" s="23"/>
      <c r="J145" s="24"/>
      <c r="K145" s="23"/>
      <c r="O145" s="30"/>
    </row>
    <row r="146" ht="15.75" customHeight="1">
      <c r="B146" s="24"/>
      <c r="C146" s="23"/>
      <c r="F146" s="24"/>
      <c r="G146" s="23"/>
      <c r="J146" s="24"/>
      <c r="K146" s="23"/>
      <c r="O146" s="30"/>
    </row>
    <row r="147" ht="15.75" customHeight="1">
      <c r="B147" s="24"/>
      <c r="C147" s="23"/>
      <c r="F147" s="24"/>
      <c r="G147" s="23"/>
      <c r="J147" s="24"/>
      <c r="K147" s="23"/>
      <c r="O147" s="30"/>
    </row>
    <row r="148" ht="15.75" customHeight="1">
      <c r="B148" s="24"/>
      <c r="C148" s="23"/>
      <c r="F148" s="24"/>
      <c r="G148" s="23"/>
      <c r="J148" s="24"/>
      <c r="K148" s="23"/>
      <c r="O148" s="30"/>
    </row>
    <row r="149" ht="15.75" customHeight="1">
      <c r="B149" s="24"/>
      <c r="C149" s="23"/>
      <c r="F149" s="24"/>
      <c r="G149" s="23"/>
      <c r="J149" s="24"/>
      <c r="K149" s="23"/>
      <c r="O149" s="30"/>
    </row>
    <row r="150" ht="15.75" customHeight="1">
      <c r="B150" s="24"/>
      <c r="C150" s="23"/>
      <c r="F150" s="24"/>
      <c r="G150" s="23"/>
      <c r="J150" s="24"/>
      <c r="K150" s="23"/>
      <c r="O150" s="30"/>
    </row>
    <row r="151" ht="15.75" customHeight="1">
      <c r="B151" s="24"/>
      <c r="C151" s="23"/>
      <c r="F151" s="24"/>
      <c r="G151" s="23"/>
      <c r="J151" s="24"/>
      <c r="K151" s="23"/>
      <c r="O151" s="30"/>
    </row>
    <row r="152" ht="15.75" customHeight="1">
      <c r="B152" s="24"/>
      <c r="C152" s="23"/>
      <c r="F152" s="24"/>
      <c r="G152" s="23"/>
      <c r="J152" s="24"/>
      <c r="K152" s="23"/>
      <c r="O152" s="30"/>
    </row>
    <row r="153" ht="15.75" customHeight="1">
      <c r="B153" s="24"/>
      <c r="C153" s="23"/>
      <c r="F153" s="24"/>
      <c r="G153" s="23"/>
      <c r="J153" s="24"/>
      <c r="K153" s="23"/>
      <c r="O153" s="30"/>
    </row>
    <row r="154" ht="15.75" customHeight="1">
      <c r="B154" s="24"/>
      <c r="C154" s="23"/>
      <c r="F154" s="24"/>
      <c r="G154" s="23"/>
      <c r="J154" s="24"/>
      <c r="K154" s="23"/>
      <c r="O154" s="30"/>
    </row>
    <row r="155" ht="15.75" customHeight="1">
      <c r="B155" s="24"/>
      <c r="C155" s="23"/>
      <c r="F155" s="24"/>
      <c r="G155" s="23"/>
      <c r="J155" s="24"/>
      <c r="K155" s="23"/>
      <c r="O155" s="30"/>
    </row>
    <row r="156" ht="15.75" customHeight="1">
      <c r="B156" s="24"/>
      <c r="C156" s="23"/>
      <c r="F156" s="24"/>
      <c r="G156" s="23"/>
      <c r="J156" s="24"/>
      <c r="K156" s="23"/>
      <c r="O156" s="30"/>
    </row>
    <row r="157" ht="15.75" customHeight="1">
      <c r="B157" s="24"/>
      <c r="C157" s="23"/>
      <c r="F157" s="24"/>
      <c r="G157" s="23"/>
      <c r="J157" s="24"/>
      <c r="K157" s="23"/>
      <c r="O157" s="30"/>
    </row>
    <row r="158" ht="15.75" customHeight="1">
      <c r="B158" s="24"/>
      <c r="C158" s="23"/>
      <c r="F158" s="24"/>
      <c r="G158" s="23"/>
      <c r="J158" s="24"/>
      <c r="K158" s="23"/>
      <c r="O158" s="30"/>
    </row>
    <row r="159" ht="15.75" customHeight="1">
      <c r="B159" s="24"/>
      <c r="C159" s="23"/>
      <c r="F159" s="24"/>
      <c r="G159" s="23"/>
      <c r="J159" s="24"/>
      <c r="K159" s="23"/>
      <c r="O159" s="30"/>
    </row>
    <row r="160" ht="15.75" customHeight="1">
      <c r="B160" s="24"/>
      <c r="C160" s="23"/>
      <c r="F160" s="24"/>
      <c r="G160" s="23"/>
      <c r="J160" s="24"/>
      <c r="K160" s="23"/>
      <c r="O160" s="30"/>
    </row>
    <row r="161" ht="15.75" customHeight="1">
      <c r="B161" s="24"/>
      <c r="C161" s="23"/>
      <c r="F161" s="24"/>
      <c r="G161" s="23"/>
      <c r="J161" s="24"/>
      <c r="K161" s="23"/>
      <c r="O161" s="30"/>
    </row>
    <row r="162" ht="15.75" customHeight="1">
      <c r="B162" s="24"/>
      <c r="C162" s="23"/>
      <c r="F162" s="24"/>
      <c r="G162" s="23"/>
      <c r="J162" s="24"/>
      <c r="K162" s="23"/>
      <c r="O162" s="30"/>
    </row>
    <row r="163" ht="15.75" customHeight="1">
      <c r="B163" s="24"/>
      <c r="C163" s="23"/>
      <c r="F163" s="24"/>
      <c r="G163" s="23"/>
      <c r="J163" s="24"/>
      <c r="K163" s="23"/>
      <c r="O163" s="30"/>
    </row>
    <row r="164" ht="15.75" customHeight="1">
      <c r="B164" s="24"/>
      <c r="C164" s="23"/>
      <c r="F164" s="24"/>
      <c r="G164" s="23"/>
      <c r="J164" s="24"/>
      <c r="K164" s="23"/>
      <c r="O164" s="30"/>
    </row>
    <row r="165" ht="15.75" customHeight="1">
      <c r="B165" s="24"/>
      <c r="C165" s="23"/>
      <c r="F165" s="24"/>
      <c r="G165" s="23"/>
      <c r="J165" s="24"/>
      <c r="K165" s="23"/>
      <c r="O165" s="30"/>
    </row>
    <row r="166" ht="15.75" customHeight="1">
      <c r="B166" s="24"/>
      <c r="C166" s="23"/>
      <c r="F166" s="24"/>
      <c r="G166" s="23"/>
      <c r="J166" s="24"/>
      <c r="K166" s="23"/>
      <c r="O166" s="30"/>
    </row>
    <row r="167" ht="15.75" customHeight="1">
      <c r="B167" s="24"/>
      <c r="C167" s="23"/>
      <c r="F167" s="24"/>
      <c r="G167" s="23"/>
      <c r="J167" s="24"/>
      <c r="K167" s="23"/>
      <c r="O167" s="30"/>
    </row>
    <row r="168" ht="15.75" customHeight="1">
      <c r="B168" s="24"/>
      <c r="C168" s="23"/>
      <c r="F168" s="24"/>
      <c r="G168" s="23"/>
      <c r="J168" s="24"/>
      <c r="K168" s="23"/>
      <c r="O168" s="30"/>
    </row>
    <row r="169" ht="15.75" customHeight="1">
      <c r="B169" s="24"/>
      <c r="C169" s="23"/>
      <c r="F169" s="24"/>
      <c r="G169" s="23"/>
      <c r="J169" s="24"/>
      <c r="K169" s="23"/>
      <c r="O169" s="30"/>
    </row>
    <row r="170" ht="15.75" customHeight="1">
      <c r="B170" s="24"/>
      <c r="C170" s="23"/>
      <c r="F170" s="24"/>
      <c r="G170" s="23"/>
      <c r="J170" s="24"/>
      <c r="K170" s="23"/>
      <c r="O170" s="30"/>
    </row>
    <row r="171" ht="15.75" customHeight="1">
      <c r="B171" s="24"/>
      <c r="C171" s="23"/>
      <c r="F171" s="24"/>
      <c r="G171" s="23"/>
      <c r="J171" s="24"/>
      <c r="K171" s="23"/>
      <c r="O171" s="30"/>
    </row>
    <row r="172" ht="15.75" customHeight="1">
      <c r="B172" s="24"/>
      <c r="C172" s="23"/>
      <c r="F172" s="24"/>
      <c r="G172" s="23"/>
      <c r="J172" s="24"/>
      <c r="K172" s="23"/>
      <c r="O172" s="30"/>
    </row>
    <row r="173" ht="15.75" customHeight="1">
      <c r="B173" s="24"/>
      <c r="C173" s="23"/>
      <c r="F173" s="24"/>
      <c r="G173" s="23"/>
      <c r="J173" s="24"/>
      <c r="K173" s="23"/>
      <c r="O173" s="30"/>
    </row>
    <row r="174" ht="15.75" customHeight="1">
      <c r="B174" s="24"/>
      <c r="C174" s="23"/>
      <c r="F174" s="24"/>
      <c r="G174" s="23"/>
      <c r="J174" s="24"/>
      <c r="K174" s="23"/>
      <c r="O174" s="30"/>
    </row>
    <row r="175" ht="15.75" customHeight="1">
      <c r="B175" s="24"/>
      <c r="C175" s="23"/>
      <c r="F175" s="24"/>
      <c r="G175" s="23"/>
      <c r="J175" s="24"/>
      <c r="K175" s="23"/>
      <c r="O175" s="30"/>
    </row>
    <row r="176" ht="15.75" customHeight="1">
      <c r="B176" s="24"/>
      <c r="C176" s="23"/>
      <c r="F176" s="24"/>
      <c r="G176" s="23"/>
      <c r="J176" s="24"/>
      <c r="K176" s="23"/>
      <c r="O176" s="30"/>
    </row>
    <row r="177" ht="15.75" customHeight="1">
      <c r="B177" s="24"/>
      <c r="C177" s="23"/>
      <c r="F177" s="24"/>
      <c r="G177" s="23"/>
      <c r="J177" s="24"/>
      <c r="K177" s="23"/>
      <c r="O177" s="30"/>
    </row>
    <row r="178" ht="15.75" customHeight="1">
      <c r="B178" s="24"/>
      <c r="C178" s="23"/>
      <c r="F178" s="24"/>
      <c r="G178" s="23"/>
      <c r="J178" s="24"/>
      <c r="K178" s="23"/>
      <c r="O178" s="30"/>
    </row>
    <row r="179" ht="15.75" customHeight="1">
      <c r="B179" s="24"/>
      <c r="C179" s="23"/>
      <c r="F179" s="24"/>
      <c r="G179" s="23"/>
      <c r="J179" s="24"/>
      <c r="K179" s="23"/>
      <c r="O179" s="30"/>
    </row>
    <row r="180" ht="15.75" customHeight="1">
      <c r="B180" s="24"/>
      <c r="C180" s="23"/>
      <c r="F180" s="24"/>
      <c r="G180" s="23"/>
      <c r="J180" s="24"/>
      <c r="K180" s="23"/>
      <c r="O180" s="30"/>
    </row>
    <row r="181" ht="15.75" customHeight="1">
      <c r="B181" s="24"/>
      <c r="C181" s="23"/>
      <c r="F181" s="24"/>
      <c r="G181" s="23"/>
      <c r="J181" s="24"/>
      <c r="K181" s="23"/>
      <c r="M181" s="23" t="str">
        <f t="shared" ref="M181:M215" si="4">IF(N181&lt;&gt;"","Gastos não essenciais","")</f>
        <v/>
      </c>
      <c r="N181" s="23" t="str">
        <f t="array" ref="N181">IFERROR(INDEX(Categorias!$C$2:$C$200,36),"")</f>
        <v/>
      </c>
      <c r="O181" s="30"/>
    </row>
    <row r="182" ht="15.75" customHeight="1">
      <c r="B182" s="24"/>
      <c r="C182" s="23"/>
      <c r="F182" s="24"/>
      <c r="G182" s="23"/>
      <c r="J182" s="24"/>
      <c r="K182" s="23"/>
      <c r="M182" s="23" t="str">
        <f t="shared" si="4"/>
        <v/>
      </c>
      <c r="N182" s="23" t="str">
        <f t="array" ref="N182">IFERROR(INDEX(Categorias!$C$2:$C$200,37),"")</f>
        <v/>
      </c>
      <c r="O182" s="30"/>
    </row>
    <row r="183" ht="15.75" customHeight="1">
      <c r="B183" s="24"/>
      <c r="C183" s="23"/>
      <c r="F183" s="24"/>
      <c r="G183" s="23"/>
      <c r="J183" s="24"/>
      <c r="K183" s="23"/>
      <c r="M183" s="23" t="str">
        <f t="shared" si="4"/>
        <v/>
      </c>
      <c r="N183" s="23" t="str">
        <f t="array" ref="N183">IFERROR(INDEX(Categorias!$C$2:$C$200,38),"")</f>
        <v/>
      </c>
      <c r="O183" s="30"/>
    </row>
    <row r="184" ht="15.75" customHeight="1">
      <c r="B184" s="24"/>
      <c r="C184" s="23"/>
      <c r="F184" s="24"/>
      <c r="G184" s="23"/>
      <c r="J184" s="24"/>
      <c r="K184" s="23"/>
      <c r="M184" s="23" t="str">
        <f t="shared" si="4"/>
        <v/>
      </c>
      <c r="N184" s="23" t="str">
        <f t="array" ref="N184">IFERROR(INDEX(Categorias!$C$2:$C$200,39),"")</f>
        <v/>
      </c>
      <c r="O184" s="30"/>
    </row>
    <row r="185" ht="15.75" customHeight="1">
      <c r="B185" s="24"/>
      <c r="C185" s="23"/>
      <c r="F185" s="24"/>
      <c r="G185" s="23"/>
      <c r="J185" s="24"/>
      <c r="K185" s="23"/>
      <c r="M185" s="23" t="str">
        <f t="shared" si="4"/>
        <v/>
      </c>
      <c r="N185" s="23" t="str">
        <f t="array" ref="N185">IFERROR(INDEX(Categorias!$C$2:$C$200,40),"")</f>
        <v/>
      </c>
      <c r="O185" s="30"/>
    </row>
    <row r="186" ht="15.75" customHeight="1">
      <c r="B186" s="24"/>
      <c r="C186" s="23"/>
      <c r="F186" s="24"/>
      <c r="G186" s="23"/>
      <c r="J186" s="24"/>
      <c r="K186" s="23"/>
      <c r="M186" s="23" t="str">
        <f t="shared" si="4"/>
        <v/>
      </c>
      <c r="N186" s="23" t="str">
        <f t="array" ref="N186">IFERROR(INDEX(Categorias!$C$2:$C$200,41),"")</f>
        <v/>
      </c>
      <c r="O186" s="30"/>
    </row>
    <row r="187" ht="15.75" customHeight="1">
      <c r="B187" s="24"/>
      <c r="C187" s="23"/>
      <c r="F187" s="24"/>
      <c r="G187" s="23"/>
      <c r="J187" s="24"/>
      <c r="K187" s="23"/>
      <c r="M187" s="23" t="str">
        <f t="shared" si="4"/>
        <v/>
      </c>
      <c r="N187" s="23" t="str">
        <f t="array" ref="N187">IFERROR(INDEX(Categorias!$C$2:$C$200,42),"")</f>
        <v/>
      </c>
      <c r="O187" s="30"/>
    </row>
    <row r="188" ht="15.75" customHeight="1">
      <c r="B188" s="24"/>
      <c r="C188" s="23"/>
      <c r="F188" s="24"/>
      <c r="G188" s="23"/>
      <c r="J188" s="24"/>
      <c r="K188" s="23"/>
      <c r="M188" s="23" t="str">
        <f t="shared" si="4"/>
        <v/>
      </c>
      <c r="N188" s="23" t="str">
        <f t="array" ref="N188">IFERROR(INDEX(Categorias!$C$2:$C$200,43),"")</f>
        <v/>
      </c>
      <c r="O188" s="30"/>
    </row>
    <row r="189" ht="15.75" customHeight="1">
      <c r="B189" s="24"/>
      <c r="C189" s="23"/>
      <c r="F189" s="24"/>
      <c r="G189" s="23"/>
      <c r="J189" s="24"/>
      <c r="K189" s="23"/>
      <c r="M189" s="23" t="str">
        <f t="shared" si="4"/>
        <v/>
      </c>
      <c r="N189" s="23" t="str">
        <f t="array" ref="N189">IFERROR(INDEX(Categorias!$C$2:$C$200,44),"")</f>
        <v/>
      </c>
      <c r="O189" s="30"/>
    </row>
    <row r="190" ht="15.75" customHeight="1">
      <c r="B190" s="24"/>
      <c r="C190" s="23"/>
      <c r="F190" s="24"/>
      <c r="G190" s="23"/>
      <c r="J190" s="24"/>
      <c r="K190" s="23"/>
      <c r="M190" s="23" t="str">
        <f t="shared" si="4"/>
        <v/>
      </c>
      <c r="N190" s="23" t="str">
        <f t="array" ref="N190">IFERROR(INDEX(Categorias!$C$2:$C$200,45),"")</f>
        <v/>
      </c>
      <c r="O190" s="30"/>
    </row>
    <row r="191" ht="15.75" customHeight="1">
      <c r="B191" s="24"/>
      <c r="C191" s="23"/>
      <c r="F191" s="24"/>
      <c r="G191" s="23"/>
      <c r="J191" s="24"/>
      <c r="K191" s="23"/>
      <c r="M191" s="23" t="str">
        <f t="shared" si="4"/>
        <v/>
      </c>
      <c r="N191" s="23" t="str">
        <f t="array" ref="N191">IFERROR(INDEX(Categorias!$C$2:$C$200,46),"")</f>
        <v/>
      </c>
      <c r="O191" s="30"/>
    </row>
    <row r="192" ht="15.75" customHeight="1">
      <c r="B192" s="24"/>
      <c r="C192" s="23"/>
      <c r="F192" s="24"/>
      <c r="G192" s="23"/>
      <c r="J192" s="24"/>
      <c r="K192" s="23"/>
      <c r="M192" s="23" t="str">
        <f t="shared" si="4"/>
        <v/>
      </c>
      <c r="N192" s="23" t="str">
        <f t="array" ref="N192">IFERROR(INDEX(Categorias!$C$2:$C$200,47),"")</f>
        <v/>
      </c>
      <c r="O192" s="30"/>
    </row>
    <row r="193" ht="15.75" customHeight="1">
      <c r="B193" s="24"/>
      <c r="C193" s="23"/>
      <c r="F193" s="24"/>
      <c r="G193" s="23"/>
      <c r="J193" s="24"/>
      <c r="K193" s="23"/>
      <c r="M193" s="23" t="str">
        <f t="shared" si="4"/>
        <v/>
      </c>
      <c r="N193" s="23" t="str">
        <f t="array" ref="N193">IFERROR(INDEX(Categorias!$C$2:$C$200,48),"")</f>
        <v/>
      </c>
      <c r="O193" s="30"/>
    </row>
    <row r="194" ht="15.75" customHeight="1">
      <c r="B194" s="24"/>
      <c r="C194" s="23"/>
      <c r="F194" s="24"/>
      <c r="G194" s="23"/>
      <c r="J194" s="24"/>
      <c r="K194" s="23"/>
      <c r="M194" s="23" t="str">
        <f t="shared" si="4"/>
        <v/>
      </c>
      <c r="N194" s="23" t="str">
        <f t="array" ref="N194">IFERROR(INDEX(Categorias!$C$2:$C$200,49),"")</f>
        <v/>
      </c>
      <c r="O194" s="30"/>
    </row>
    <row r="195" ht="15.75" customHeight="1">
      <c r="B195" s="24"/>
      <c r="C195" s="23"/>
      <c r="F195" s="24"/>
      <c r="G195" s="23"/>
      <c r="J195" s="24"/>
      <c r="K195" s="23"/>
      <c r="M195" s="23" t="str">
        <f t="shared" si="4"/>
        <v/>
      </c>
      <c r="N195" s="23" t="str">
        <f t="array" ref="N195">IFERROR(INDEX(Categorias!$C$2:$C$200,50),"")</f>
        <v/>
      </c>
      <c r="O195" s="30"/>
    </row>
    <row r="196" ht="15.75" customHeight="1">
      <c r="B196" s="24"/>
      <c r="C196" s="23"/>
      <c r="F196" s="24"/>
      <c r="G196" s="23"/>
      <c r="J196" s="24"/>
      <c r="K196" s="23"/>
      <c r="M196" s="23" t="str">
        <f t="shared" si="4"/>
        <v/>
      </c>
      <c r="N196" s="23" t="str">
        <f t="array" ref="N196">IFERROR(INDEX(Categorias!$C$2:$C$200,51),"")</f>
        <v/>
      </c>
      <c r="O196" s="30"/>
    </row>
    <row r="197" ht="15.75" customHeight="1">
      <c r="B197" s="24"/>
      <c r="C197" s="23"/>
      <c r="F197" s="24"/>
      <c r="G197" s="23"/>
      <c r="J197" s="24"/>
      <c r="K197" s="23"/>
      <c r="M197" s="23" t="str">
        <f t="shared" si="4"/>
        <v/>
      </c>
      <c r="N197" s="23" t="str">
        <f t="array" ref="N197">IFERROR(INDEX(Categorias!$C$2:$C$200,52),"")</f>
        <v/>
      </c>
      <c r="O197" s="30"/>
    </row>
    <row r="198" ht="15.75" customHeight="1">
      <c r="B198" s="24"/>
      <c r="C198" s="23"/>
      <c r="F198" s="24"/>
      <c r="G198" s="23"/>
      <c r="J198" s="24"/>
      <c r="K198" s="23"/>
      <c r="M198" s="23" t="str">
        <f t="shared" si="4"/>
        <v/>
      </c>
      <c r="N198" s="23" t="str">
        <f t="array" ref="N198">IFERROR(INDEX(Categorias!$C$2:$C$200,53),"")</f>
        <v/>
      </c>
      <c r="O198" s="30"/>
    </row>
    <row r="199" ht="15.75" customHeight="1">
      <c r="B199" s="24"/>
      <c r="C199" s="23"/>
      <c r="F199" s="24"/>
      <c r="G199" s="23"/>
      <c r="J199" s="24"/>
      <c r="K199" s="23"/>
      <c r="M199" s="23" t="str">
        <f t="shared" si="4"/>
        <v/>
      </c>
      <c r="N199" s="23" t="str">
        <f t="array" ref="N199">IFERROR(INDEX(Categorias!$C$2:$C$200,54),"")</f>
        <v/>
      </c>
      <c r="O199" s="30"/>
    </row>
    <row r="200" ht="15.75" customHeight="1">
      <c r="B200" s="24"/>
      <c r="C200" s="23"/>
      <c r="F200" s="24"/>
      <c r="G200" s="23"/>
      <c r="J200" s="24"/>
      <c r="K200" s="23"/>
      <c r="M200" s="23" t="str">
        <f t="shared" si="4"/>
        <v/>
      </c>
      <c r="N200" s="23" t="str">
        <f t="array" ref="N200">IFERROR(INDEX(Categorias!$C$2:$C$200,55),"")</f>
        <v/>
      </c>
      <c r="O200" s="30"/>
    </row>
    <row r="201" ht="15.75" customHeight="1">
      <c r="B201" s="24"/>
      <c r="C201" s="23"/>
      <c r="F201" s="24"/>
      <c r="G201" s="23"/>
      <c r="J201" s="24"/>
      <c r="K201" s="23"/>
      <c r="M201" s="23" t="str">
        <f t="shared" si="4"/>
        <v/>
      </c>
      <c r="N201" s="23" t="str">
        <f t="array" ref="N201">IFERROR(INDEX(Categorias!$C$2:$C$200,56),"")</f>
        <v/>
      </c>
      <c r="O201" s="30"/>
    </row>
    <row r="202" ht="15.75" customHeight="1">
      <c r="B202" s="24"/>
      <c r="C202" s="23"/>
      <c r="F202" s="24"/>
      <c r="G202" s="23"/>
      <c r="J202" s="24"/>
      <c r="K202" s="23"/>
      <c r="M202" s="23" t="str">
        <f t="shared" si="4"/>
        <v/>
      </c>
      <c r="N202" s="23" t="str">
        <f t="array" ref="N202">IFERROR(INDEX(Categorias!$C$2:$C$200,57),"")</f>
        <v/>
      </c>
      <c r="O202" s="30"/>
    </row>
    <row r="203" ht="15.75" customHeight="1">
      <c r="B203" s="24"/>
      <c r="C203" s="23"/>
      <c r="F203" s="24"/>
      <c r="G203" s="23"/>
      <c r="J203" s="24"/>
      <c r="K203" s="23"/>
      <c r="M203" s="23" t="str">
        <f t="shared" si="4"/>
        <v/>
      </c>
      <c r="N203" s="23" t="str">
        <f t="array" ref="N203">IFERROR(INDEX(Categorias!$C$2:$C$200,58),"")</f>
        <v/>
      </c>
      <c r="O203" s="30"/>
    </row>
    <row r="204" ht="15.75" customHeight="1">
      <c r="B204" s="24"/>
      <c r="C204" s="23"/>
      <c r="F204" s="24"/>
      <c r="G204" s="23"/>
      <c r="J204" s="24"/>
      <c r="K204" s="23"/>
      <c r="M204" s="23" t="str">
        <f t="shared" si="4"/>
        <v/>
      </c>
      <c r="N204" s="23" t="str">
        <f t="array" ref="N204">IFERROR(INDEX(Categorias!$C$2:$C$200,59),"")</f>
        <v/>
      </c>
      <c r="O204" s="30"/>
    </row>
    <row r="205" ht="15.75" customHeight="1">
      <c r="B205" s="24"/>
      <c r="C205" s="23"/>
      <c r="F205" s="24"/>
      <c r="G205" s="23"/>
      <c r="J205" s="24"/>
      <c r="K205" s="23"/>
      <c r="M205" s="23" t="str">
        <f t="shared" si="4"/>
        <v/>
      </c>
      <c r="N205" s="23" t="str">
        <f t="array" ref="N205">IFERROR(INDEX(Categorias!$C$2:$C$200,60),"")</f>
        <v/>
      </c>
      <c r="O205" s="30"/>
    </row>
    <row r="206" ht="15.75" customHeight="1">
      <c r="B206" s="24"/>
      <c r="C206" s="23"/>
      <c r="F206" s="24"/>
      <c r="G206" s="23"/>
      <c r="J206" s="24"/>
      <c r="K206" s="23"/>
      <c r="M206" s="23" t="str">
        <f t="shared" si="4"/>
        <v/>
      </c>
      <c r="N206" s="23" t="str">
        <f t="array" ref="N206">IFERROR(INDEX(Categorias!$C$2:$C$200,61),"")</f>
        <v/>
      </c>
      <c r="O206" s="30"/>
    </row>
    <row r="207" ht="15.75" customHeight="1">
      <c r="B207" s="24"/>
      <c r="C207" s="23"/>
      <c r="F207" s="24"/>
      <c r="G207" s="23"/>
      <c r="J207" s="24"/>
      <c r="K207" s="23"/>
      <c r="M207" s="23" t="str">
        <f t="shared" si="4"/>
        <v/>
      </c>
      <c r="N207" s="23" t="str">
        <f t="array" ref="N207">IFERROR(INDEX(Categorias!$C$2:$C$200,62),"")</f>
        <v/>
      </c>
      <c r="O207" s="30"/>
    </row>
    <row r="208" ht="15.75" customHeight="1">
      <c r="B208" s="24"/>
      <c r="C208" s="23"/>
      <c r="F208" s="24"/>
      <c r="G208" s="23"/>
      <c r="J208" s="24"/>
      <c r="K208" s="23"/>
      <c r="M208" s="23" t="str">
        <f t="shared" si="4"/>
        <v/>
      </c>
      <c r="N208" s="23" t="str">
        <f t="array" ref="N208">IFERROR(INDEX(Categorias!$C$2:$C$200,63),"")</f>
        <v/>
      </c>
      <c r="O208" s="30"/>
    </row>
    <row r="209" ht="15.75" customHeight="1">
      <c r="B209" s="24"/>
      <c r="C209" s="23"/>
      <c r="F209" s="24"/>
      <c r="G209" s="23"/>
      <c r="J209" s="24"/>
      <c r="K209" s="23"/>
      <c r="M209" s="23" t="str">
        <f t="shared" si="4"/>
        <v/>
      </c>
      <c r="N209" s="23" t="str">
        <f t="array" ref="N209">IFERROR(INDEX(Categorias!$C$2:$C$200,64),"")</f>
        <v/>
      </c>
      <c r="O209" s="30"/>
    </row>
    <row r="210" ht="15.75" customHeight="1">
      <c r="B210" s="24"/>
      <c r="C210" s="23"/>
      <c r="F210" s="24"/>
      <c r="G210" s="23"/>
      <c r="J210" s="24"/>
      <c r="K210" s="23"/>
      <c r="M210" s="23" t="str">
        <f t="shared" si="4"/>
        <v/>
      </c>
      <c r="N210" s="23" t="str">
        <f t="array" ref="N210">IFERROR(INDEX(Categorias!$C$2:$C$200,65),"")</f>
        <v/>
      </c>
      <c r="O210" s="30"/>
    </row>
    <row r="211" ht="15.75" customHeight="1">
      <c r="B211" s="24"/>
      <c r="C211" s="23"/>
      <c r="F211" s="24"/>
      <c r="G211" s="23"/>
      <c r="J211" s="24"/>
      <c r="K211" s="23"/>
      <c r="M211" s="23" t="str">
        <f t="shared" si="4"/>
        <v/>
      </c>
      <c r="N211" s="23" t="str">
        <f t="array" ref="N211">IFERROR(INDEX(Categorias!$C$2:$C$200,66),"")</f>
        <v/>
      </c>
      <c r="O211" s="30"/>
    </row>
    <row r="212" ht="15.75" customHeight="1">
      <c r="B212" s="24"/>
      <c r="C212" s="23"/>
      <c r="F212" s="24"/>
      <c r="G212" s="23"/>
      <c r="J212" s="24"/>
      <c r="K212" s="23"/>
      <c r="M212" s="23" t="str">
        <f t="shared" si="4"/>
        <v/>
      </c>
      <c r="N212" s="23" t="str">
        <f t="array" ref="N212">IFERROR(INDEX(Categorias!$C$2:$C$200,67),"")</f>
        <v/>
      </c>
      <c r="O212" s="30"/>
    </row>
    <row r="213" ht="15.75" customHeight="1">
      <c r="B213" s="24"/>
      <c r="C213" s="23"/>
      <c r="F213" s="24"/>
      <c r="G213" s="23"/>
      <c r="J213" s="24"/>
      <c r="K213" s="23"/>
      <c r="M213" s="23" t="str">
        <f t="shared" si="4"/>
        <v/>
      </c>
      <c r="N213" s="23" t="str">
        <f t="array" ref="N213">IFERROR(INDEX(Categorias!$C$2:$C$200,68),"")</f>
        <v/>
      </c>
      <c r="O213" s="30"/>
    </row>
    <row r="214" ht="15.75" customHeight="1">
      <c r="B214" s="24"/>
      <c r="C214" s="23"/>
      <c r="F214" s="24"/>
      <c r="G214" s="23"/>
      <c r="J214" s="24"/>
      <c r="K214" s="23"/>
      <c r="M214" s="23" t="str">
        <f t="shared" si="4"/>
        <v/>
      </c>
      <c r="N214" s="23" t="str">
        <f t="array" ref="N214">IFERROR(INDEX(Categorias!$C$2:$C$200,69),"")</f>
        <v/>
      </c>
      <c r="O214" s="30"/>
    </row>
    <row r="215" ht="15.75" customHeight="1">
      <c r="B215" s="24"/>
      <c r="C215" s="23"/>
      <c r="F215" s="24"/>
      <c r="G215" s="23"/>
      <c r="J215" s="24"/>
      <c r="K215" s="23"/>
      <c r="M215" s="23" t="str">
        <f t="shared" si="4"/>
        <v/>
      </c>
      <c r="N215" s="23" t="str">
        <f t="array" ref="N215">IFERROR(INDEX(Categorias!$C$2:$C$200,70),"")</f>
        <v/>
      </c>
      <c r="O215" s="30"/>
    </row>
    <row r="216" ht="15.75" customHeight="1">
      <c r="B216" s="24"/>
      <c r="C216" s="23"/>
      <c r="F216" s="24"/>
      <c r="G216" s="23"/>
      <c r="J216" s="24"/>
      <c r="K216" s="23"/>
      <c r="O216" s="28"/>
    </row>
    <row r="217" ht="15.75" customHeight="1">
      <c r="B217" s="24"/>
      <c r="C217" s="23"/>
      <c r="F217" s="24"/>
      <c r="G217" s="23"/>
      <c r="J217" s="24"/>
      <c r="K217" s="23"/>
      <c r="O217" s="28"/>
    </row>
    <row r="218" ht="15.75" customHeight="1">
      <c r="B218" s="24"/>
      <c r="C218" s="23"/>
      <c r="F218" s="24"/>
      <c r="G218" s="23"/>
      <c r="J218" s="24"/>
      <c r="K218" s="23"/>
      <c r="O218" s="28"/>
    </row>
    <row r="219" ht="15.75" customHeight="1">
      <c r="B219" s="24"/>
      <c r="C219" s="23"/>
      <c r="F219" s="24"/>
      <c r="G219" s="23"/>
      <c r="J219" s="24"/>
      <c r="K219" s="23"/>
      <c r="O219" s="28"/>
    </row>
    <row r="220" ht="15.75" customHeight="1">
      <c r="B220" s="24"/>
      <c r="C220" s="23"/>
      <c r="F220" s="24"/>
      <c r="G220" s="23"/>
      <c r="J220" s="24"/>
      <c r="K220" s="23"/>
      <c r="O220" s="28"/>
    </row>
    <row r="221" ht="15.75" customHeight="1">
      <c r="B221" s="24"/>
      <c r="C221" s="23"/>
      <c r="F221" s="24"/>
      <c r="G221" s="23"/>
      <c r="J221" s="24"/>
      <c r="K221" s="23"/>
      <c r="O221" s="28"/>
    </row>
    <row r="222" ht="15.75" customHeight="1">
      <c r="B222" s="24"/>
      <c r="C222" s="23"/>
      <c r="F222" s="24"/>
      <c r="G222" s="23"/>
      <c r="J222" s="24"/>
      <c r="K222" s="23"/>
      <c r="O222" s="28"/>
    </row>
    <row r="223" ht="15.75" customHeight="1">
      <c r="B223" s="24"/>
      <c r="C223" s="23"/>
      <c r="F223" s="24"/>
      <c r="G223" s="23"/>
      <c r="J223" s="24"/>
      <c r="K223" s="23"/>
      <c r="O223" s="28"/>
    </row>
    <row r="224" ht="15.75" customHeight="1">
      <c r="B224" s="24"/>
      <c r="C224" s="23"/>
      <c r="F224" s="24"/>
      <c r="G224" s="23"/>
      <c r="J224" s="24"/>
      <c r="K224" s="23"/>
      <c r="O224" s="28"/>
    </row>
    <row r="225" ht="15.75" customHeight="1">
      <c r="B225" s="24"/>
      <c r="C225" s="23"/>
      <c r="F225" s="24"/>
      <c r="G225" s="23"/>
      <c r="J225" s="24"/>
      <c r="K225" s="23"/>
      <c r="O225" s="28"/>
    </row>
    <row r="226" ht="15.75" customHeight="1">
      <c r="B226" s="24"/>
      <c r="C226" s="23"/>
      <c r="F226" s="24"/>
      <c r="G226" s="23"/>
      <c r="J226" s="24"/>
      <c r="K226" s="23"/>
      <c r="O226" s="28"/>
    </row>
    <row r="227" ht="15.75" customHeight="1">
      <c r="B227" s="24"/>
      <c r="C227" s="23"/>
      <c r="F227" s="24"/>
      <c r="G227" s="23"/>
      <c r="J227" s="24"/>
      <c r="K227" s="23"/>
      <c r="O227" s="28"/>
    </row>
    <row r="228" ht="15.75" customHeight="1">
      <c r="B228" s="24"/>
      <c r="C228" s="23"/>
      <c r="F228" s="24"/>
      <c r="G228" s="23"/>
      <c r="J228" s="24"/>
      <c r="K228" s="23"/>
      <c r="O228" s="28"/>
    </row>
    <row r="229" ht="15.75" customHeight="1">
      <c r="B229" s="24"/>
      <c r="C229" s="23"/>
      <c r="F229" s="24"/>
      <c r="G229" s="23"/>
      <c r="J229" s="24"/>
      <c r="K229" s="23"/>
      <c r="O229" s="28"/>
    </row>
    <row r="230" ht="15.75" customHeight="1">
      <c r="B230" s="24"/>
      <c r="C230" s="23"/>
      <c r="F230" s="24"/>
      <c r="G230" s="23"/>
      <c r="J230" s="24"/>
      <c r="K230" s="23"/>
      <c r="O230" s="28"/>
    </row>
    <row r="231" ht="15.75" customHeight="1">
      <c r="B231" s="24"/>
      <c r="C231" s="23"/>
      <c r="F231" s="24"/>
      <c r="G231" s="23"/>
      <c r="J231" s="24"/>
      <c r="K231" s="23"/>
      <c r="O231" s="28"/>
    </row>
    <row r="232" ht="15.75" customHeight="1">
      <c r="B232" s="24"/>
      <c r="C232" s="23"/>
      <c r="F232" s="24"/>
      <c r="G232" s="23"/>
      <c r="J232" s="24"/>
      <c r="K232" s="23"/>
      <c r="O232" s="28"/>
    </row>
    <row r="233" ht="15.75" customHeight="1">
      <c r="B233" s="24"/>
      <c r="C233" s="23"/>
      <c r="F233" s="24"/>
      <c r="G233" s="23"/>
      <c r="J233" s="24"/>
      <c r="K233" s="23"/>
      <c r="O233" s="28"/>
    </row>
    <row r="234" ht="15.75" customHeight="1">
      <c r="B234" s="24"/>
      <c r="C234" s="23"/>
      <c r="F234" s="24"/>
      <c r="G234" s="23"/>
      <c r="J234" s="24"/>
      <c r="K234" s="23"/>
      <c r="O234" s="28"/>
    </row>
    <row r="235" ht="15.75" customHeight="1">
      <c r="B235" s="24"/>
      <c r="C235" s="23"/>
      <c r="F235" s="24"/>
      <c r="G235" s="23"/>
      <c r="J235" s="24"/>
      <c r="K235" s="23"/>
      <c r="O235" s="28"/>
    </row>
    <row r="236" ht="15.75" customHeight="1">
      <c r="B236" s="24"/>
      <c r="C236" s="23"/>
      <c r="F236" s="24"/>
      <c r="G236" s="23"/>
      <c r="J236" s="24"/>
      <c r="K236" s="23"/>
      <c r="O236" s="28"/>
    </row>
    <row r="237" ht="15.75" customHeight="1">
      <c r="B237" s="24"/>
      <c r="C237" s="23"/>
      <c r="F237" s="24"/>
      <c r="G237" s="23"/>
      <c r="J237" s="24"/>
      <c r="K237" s="23"/>
      <c r="O237" s="28"/>
    </row>
    <row r="238" ht="15.75" customHeight="1">
      <c r="B238" s="24"/>
      <c r="C238" s="23"/>
      <c r="F238" s="24"/>
      <c r="G238" s="23"/>
      <c r="J238" s="24"/>
      <c r="K238" s="23"/>
      <c r="O238" s="28"/>
    </row>
    <row r="239" ht="15.75" customHeight="1">
      <c r="B239" s="24"/>
      <c r="C239" s="23"/>
      <c r="F239" s="24"/>
      <c r="G239" s="23"/>
      <c r="J239" s="24"/>
      <c r="K239" s="23"/>
      <c r="O239" s="28"/>
    </row>
    <row r="240" ht="15.75" customHeight="1">
      <c r="B240" s="24"/>
      <c r="C240" s="23"/>
      <c r="F240" s="24"/>
      <c r="G240" s="23"/>
      <c r="J240" s="24"/>
      <c r="K240" s="23"/>
      <c r="O240" s="28"/>
    </row>
    <row r="241" ht="15.75" customHeight="1">
      <c r="B241" s="24"/>
      <c r="C241" s="23"/>
      <c r="F241" s="24"/>
      <c r="G241" s="23"/>
      <c r="J241" s="24"/>
      <c r="K241" s="23"/>
      <c r="O241" s="28"/>
    </row>
    <row r="242" ht="15.75" customHeight="1">
      <c r="B242" s="24"/>
      <c r="C242" s="23"/>
      <c r="F242" s="24"/>
      <c r="G242" s="23"/>
      <c r="J242" s="24"/>
      <c r="K242" s="23"/>
      <c r="O242" s="28"/>
    </row>
    <row r="243" ht="15.75" customHeight="1">
      <c r="B243" s="24"/>
      <c r="C243" s="23"/>
      <c r="F243" s="24"/>
      <c r="G243" s="23"/>
      <c r="J243" s="24"/>
      <c r="K243" s="23"/>
      <c r="O243" s="28"/>
    </row>
    <row r="244" ht="15.75" customHeight="1">
      <c r="B244" s="24"/>
      <c r="C244" s="23"/>
      <c r="F244" s="24"/>
      <c r="G244" s="23"/>
      <c r="J244" s="24"/>
      <c r="K244" s="23"/>
      <c r="O244" s="28"/>
    </row>
    <row r="245" ht="15.75" customHeight="1">
      <c r="B245" s="24"/>
      <c r="C245" s="23"/>
      <c r="F245" s="24"/>
      <c r="G245" s="23"/>
      <c r="J245" s="24"/>
      <c r="K245" s="23"/>
      <c r="O245" s="28"/>
    </row>
    <row r="246" ht="15.75" customHeight="1">
      <c r="B246" s="24"/>
      <c r="C246" s="23"/>
      <c r="F246" s="24"/>
      <c r="G246" s="23"/>
      <c r="J246" s="24"/>
      <c r="K246" s="23"/>
      <c r="O246" s="28"/>
    </row>
    <row r="247" ht="15.75" customHeight="1">
      <c r="B247" s="24"/>
      <c r="C247" s="23"/>
      <c r="F247" s="24"/>
      <c r="G247" s="23"/>
      <c r="J247" s="24"/>
      <c r="K247" s="23"/>
      <c r="O247" s="28"/>
    </row>
    <row r="248" ht="15.75" customHeight="1">
      <c r="B248" s="24"/>
      <c r="C248" s="23"/>
      <c r="F248" s="24"/>
      <c r="G248" s="23"/>
      <c r="J248" s="24"/>
      <c r="K248" s="23"/>
      <c r="O248" s="28"/>
    </row>
    <row r="249" ht="15.75" customHeight="1">
      <c r="B249" s="24"/>
      <c r="C249" s="23"/>
      <c r="F249" s="24"/>
      <c r="G249" s="23"/>
      <c r="J249" s="24"/>
      <c r="K249" s="23"/>
      <c r="O249" s="28"/>
    </row>
    <row r="250" ht="15.75" customHeight="1">
      <c r="B250" s="24"/>
      <c r="C250" s="23"/>
      <c r="F250" s="24"/>
      <c r="G250" s="23"/>
      <c r="J250" s="24"/>
      <c r="K250" s="23"/>
      <c r="O250" s="28"/>
    </row>
    <row r="251" ht="15.75" customHeight="1">
      <c r="B251" s="24"/>
      <c r="C251" s="23"/>
      <c r="F251" s="24"/>
      <c r="G251" s="23"/>
      <c r="J251" s="24"/>
      <c r="K251" s="23"/>
      <c r="O251" s="28"/>
    </row>
    <row r="252" ht="15.75" customHeight="1">
      <c r="B252" s="24"/>
      <c r="C252" s="23"/>
      <c r="F252" s="24"/>
      <c r="G252" s="23"/>
      <c r="J252" s="24"/>
      <c r="K252" s="23"/>
      <c r="O252" s="28"/>
    </row>
    <row r="253" ht="15.75" customHeight="1">
      <c r="B253" s="24"/>
      <c r="C253" s="23"/>
      <c r="F253" s="24"/>
      <c r="G253" s="23"/>
      <c r="J253" s="24"/>
      <c r="K253" s="23"/>
      <c r="O253" s="28"/>
    </row>
    <row r="254" ht="15.75" customHeight="1">
      <c r="B254" s="24"/>
      <c r="C254" s="23"/>
      <c r="F254" s="24"/>
      <c r="G254" s="23"/>
      <c r="J254" s="24"/>
      <c r="K254" s="23"/>
      <c r="O254" s="28"/>
    </row>
    <row r="255" ht="15.75" customHeight="1">
      <c r="B255" s="24"/>
      <c r="C255" s="23"/>
      <c r="F255" s="24"/>
      <c r="G255" s="23"/>
      <c r="J255" s="24"/>
      <c r="K255" s="23"/>
      <c r="O255" s="28"/>
    </row>
    <row r="256" ht="15.75" customHeight="1">
      <c r="B256" s="24"/>
      <c r="C256" s="23"/>
      <c r="F256" s="24"/>
      <c r="G256" s="23"/>
      <c r="J256" s="24"/>
      <c r="K256" s="23"/>
      <c r="O256" s="28"/>
    </row>
    <row r="257" ht="15.75" customHeight="1">
      <c r="B257" s="24"/>
      <c r="C257" s="23"/>
      <c r="F257" s="24"/>
      <c r="G257" s="23"/>
      <c r="J257" s="24"/>
      <c r="K257" s="23"/>
      <c r="O257" s="28"/>
    </row>
    <row r="258" ht="15.75" customHeight="1">
      <c r="B258" s="24"/>
      <c r="C258" s="23"/>
      <c r="F258" s="24"/>
      <c r="G258" s="23"/>
      <c r="J258" s="24"/>
      <c r="K258" s="23"/>
      <c r="O258" s="28"/>
    </row>
    <row r="259" ht="15.75" customHeight="1">
      <c r="B259" s="24"/>
      <c r="C259" s="23"/>
      <c r="F259" s="24"/>
      <c r="G259" s="23"/>
      <c r="J259" s="24"/>
      <c r="K259" s="23"/>
      <c r="O259" s="28"/>
    </row>
    <row r="260" ht="15.75" customHeight="1">
      <c r="B260" s="24"/>
      <c r="C260" s="23"/>
      <c r="F260" s="24"/>
      <c r="G260" s="23"/>
      <c r="J260" s="24"/>
      <c r="K260" s="23"/>
      <c r="O260" s="28"/>
    </row>
    <row r="261" ht="15.75" customHeight="1">
      <c r="B261" s="24"/>
      <c r="C261" s="23"/>
      <c r="F261" s="24"/>
      <c r="G261" s="23"/>
      <c r="J261" s="24"/>
      <c r="K261" s="23"/>
      <c r="O261" s="28"/>
    </row>
    <row r="262" ht="15.75" customHeight="1">
      <c r="B262" s="24"/>
      <c r="C262" s="23"/>
      <c r="F262" s="24"/>
      <c r="G262" s="23"/>
      <c r="J262" s="24"/>
      <c r="K262" s="23"/>
      <c r="O262" s="28"/>
    </row>
    <row r="263" ht="15.75" customHeight="1">
      <c r="B263" s="24"/>
      <c r="C263" s="23"/>
      <c r="F263" s="24"/>
      <c r="G263" s="23"/>
      <c r="J263" s="24"/>
      <c r="K263" s="23"/>
      <c r="O263" s="28"/>
    </row>
    <row r="264" ht="15.75" customHeight="1">
      <c r="B264" s="24"/>
      <c r="C264" s="23"/>
      <c r="F264" s="24"/>
      <c r="G264" s="23"/>
      <c r="J264" s="24"/>
      <c r="K264" s="23"/>
      <c r="O264" s="28"/>
    </row>
    <row r="265" ht="15.75" customHeight="1">
      <c r="B265" s="24"/>
      <c r="C265" s="23"/>
      <c r="F265" s="24"/>
      <c r="G265" s="23"/>
      <c r="J265" s="24"/>
      <c r="K265" s="23"/>
      <c r="O265" s="28"/>
    </row>
    <row r="266" ht="15.75" customHeight="1">
      <c r="B266" s="24"/>
      <c r="C266" s="23"/>
      <c r="F266" s="24"/>
      <c r="G266" s="23"/>
      <c r="J266" s="24"/>
      <c r="K266" s="23"/>
      <c r="O266" s="28"/>
    </row>
    <row r="267" ht="15.75" customHeight="1">
      <c r="B267" s="24"/>
      <c r="C267" s="23"/>
      <c r="F267" s="24"/>
      <c r="G267" s="23"/>
      <c r="J267" s="24"/>
      <c r="K267" s="23"/>
      <c r="O267" s="28"/>
    </row>
    <row r="268" ht="15.75" customHeight="1">
      <c r="B268" s="24"/>
      <c r="C268" s="23"/>
      <c r="F268" s="24"/>
      <c r="G268" s="23"/>
      <c r="J268" s="24"/>
      <c r="K268" s="23"/>
      <c r="O268" s="28"/>
    </row>
    <row r="269" ht="15.75" customHeight="1">
      <c r="B269" s="24"/>
      <c r="C269" s="23"/>
      <c r="F269" s="24"/>
      <c r="G269" s="23"/>
      <c r="J269" s="24"/>
      <c r="K269" s="23"/>
      <c r="O269" s="28"/>
    </row>
    <row r="270" ht="15.75" customHeight="1">
      <c r="B270" s="24"/>
      <c r="C270" s="23"/>
      <c r="F270" s="24"/>
      <c r="G270" s="23"/>
      <c r="J270" s="24"/>
      <c r="K270" s="23"/>
      <c r="O270" s="28"/>
    </row>
    <row r="271" ht="15.75" customHeight="1">
      <c r="B271" s="24"/>
      <c r="C271" s="23"/>
      <c r="F271" s="24"/>
      <c r="G271" s="23"/>
      <c r="J271" s="24"/>
      <c r="K271" s="23"/>
      <c r="O271" s="28"/>
    </row>
    <row r="272" ht="15.75" customHeight="1">
      <c r="B272" s="24"/>
      <c r="C272" s="23"/>
      <c r="F272" s="24"/>
      <c r="G272" s="23"/>
      <c r="J272" s="24"/>
      <c r="K272" s="23"/>
      <c r="O272" s="28"/>
    </row>
    <row r="273" ht="15.75" customHeight="1">
      <c r="B273" s="24"/>
      <c r="C273" s="23"/>
      <c r="F273" s="24"/>
      <c r="G273" s="23"/>
      <c r="J273" s="24"/>
      <c r="K273" s="23"/>
      <c r="O273" s="28"/>
    </row>
    <row r="274" ht="15.75" customHeight="1">
      <c r="B274" s="24"/>
      <c r="C274" s="23"/>
      <c r="F274" s="24"/>
      <c r="G274" s="23"/>
      <c r="J274" s="24"/>
      <c r="K274" s="23"/>
      <c r="O274" s="28"/>
    </row>
    <row r="275" ht="15.75" customHeight="1">
      <c r="B275" s="24"/>
      <c r="C275" s="23"/>
      <c r="F275" s="24"/>
      <c r="G275" s="23"/>
      <c r="J275" s="24"/>
      <c r="K275" s="23"/>
      <c r="O275" s="28"/>
    </row>
    <row r="276" ht="15.75" customHeight="1">
      <c r="B276" s="24"/>
      <c r="C276" s="23"/>
      <c r="F276" s="24"/>
      <c r="G276" s="23"/>
      <c r="J276" s="24"/>
      <c r="K276" s="23"/>
      <c r="O276" s="28"/>
    </row>
    <row r="277" ht="15.75" customHeight="1">
      <c r="B277" s="24"/>
      <c r="C277" s="23"/>
      <c r="F277" s="24"/>
      <c r="G277" s="23"/>
      <c r="J277" s="24"/>
      <c r="K277" s="23"/>
      <c r="O277" s="28"/>
    </row>
    <row r="278" ht="15.75" customHeight="1">
      <c r="B278" s="24"/>
      <c r="C278" s="23"/>
      <c r="F278" s="24"/>
      <c r="G278" s="23"/>
      <c r="J278" s="24"/>
      <c r="K278" s="23"/>
      <c r="O278" s="28"/>
    </row>
    <row r="279" ht="15.75" customHeight="1">
      <c r="B279" s="24"/>
      <c r="C279" s="23"/>
      <c r="F279" s="24"/>
      <c r="G279" s="23"/>
      <c r="J279" s="24"/>
      <c r="K279" s="23"/>
      <c r="O279" s="28"/>
    </row>
    <row r="280" ht="15.75" customHeight="1">
      <c r="B280" s="24"/>
      <c r="C280" s="23"/>
      <c r="F280" s="24"/>
      <c r="G280" s="23"/>
      <c r="J280" s="24"/>
      <c r="K280" s="23"/>
      <c r="O280" s="28"/>
    </row>
    <row r="281" ht="15.75" customHeight="1">
      <c r="B281" s="24"/>
      <c r="C281" s="23"/>
      <c r="F281" s="24"/>
      <c r="G281" s="23"/>
      <c r="J281" s="24"/>
      <c r="K281" s="23"/>
      <c r="O281" s="28"/>
    </row>
    <row r="282" ht="15.75" customHeight="1">
      <c r="B282" s="24"/>
      <c r="C282" s="23"/>
      <c r="F282" s="24"/>
      <c r="G282" s="23"/>
      <c r="J282" s="24"/>
      <c r="K282" s="23"/>
      <c r="O282" s="28"/>
    </row>
    <row r="283" ht="15.75" customHeight="1">
      <c r="B283" s="24"/>
      <c r="C283" s="23"/>
      <c r="F283" s="24"/>
      <c r="G283" s="23"/>
      <c r="J283" s="24"/>
      <c r="K283" s="23"/>
      <c r="O283" s="28"/>
    </row>
    <row r="284" ht="15.75" customHeight="1">
      <c r="B284" s="24"/>
      <c r="C284" s="23"/>
      <c r="F284" s="24"/>
      <c r="G284" s="23"/>
      <c r="J284" s="24"/>
      <c r="K284" s="23"/>
      <c r="O284" s="28"/>
    </row>
    <row r="285" ht="15.75" customHeight="1">
      <c r="B285" s="24"/>
      <c r="C285" s="23"/>
      <c r="F285" s="24"/>
      <c r="G285" s="23"/>
      <c r="J285" s="24"/>
      <c r="K285" s="23"/>
      <c r="O285" s="28"/>
    </row>
    <row r="286" ht="15.75" customHeight="1">
      <c r="B286" s="24"/>
      <c r="C286" s="23"/>
      <c r="F286" s="24"/>
      <c r="G286" s="23"/>
      <c r="J286" s="24"/>
      <c r="K286" s="23"/>
      <c r="O286" s="28"/>
    </row>
    <row r="287" ht="15.75" customHeight="1">
      <c r="B287" s="24"/>
      <c r="C287" s="23"/>
      <c r="F287" s="24"/>
      <c r="G287" s="23"/>
      <c r="J287" s="24"/>
      <c r="K287" s="23"/>
      <c r="O287" s="28"/>
    </row>
    <row r="288" ht="15.75" customHeight="1">
      <c r="B288" s="24"/>
      <c r="C288" s="23"/>
      <c r="F288" s="24"/>
      <c r="G288" s="23"/>
      <c r="J288" s="24"/>
      <c r="K288" s="23"/>
      <c r="O288" s="28"/>
    </row>
    <row r="289" ht="15.75" customHeight="1">
      <c r="B289" s="24"/>
      <c r="C289" s="23"/>
      <c r="F289" s="24"/>
      <c r="G289" s="23"/>
      <c r="J289" s="24"/>
      <c r="K289" s="23"/>
      <c r="O289" s="28"/>
    </row>
    <row r="290" ht="15.75" customHeight="1">
      <c r="B290" s="24"/>
      <c r="C290" s="23"/>
      <c r="F290" s="24"/>
      <c r="G290" s="23"/>
      <c r="J290" s="24"/>
      <c r="K290" s="23"/>
      <c r="O290" s="28"/>
    </row>
    <row r="291" ht="15.75" customHeight="1">
      <c r="B291" s="24"/>
      <c r="C291" s="23"/>
      <c r="F291" s="24"/>
      <c r="G291" s="23"/>
      <c r="J291" s="24"/>
      <c r="K291" s="23"/>
      <c r="O291" s="28"/>
    </row>
    <row r="292" ht="15.75" customHeight="1">
      <c r="B292" s="24"/>
      <c r="C292" s="23"/>
      <c r="F292" s="24"/>
      <c r="G292" s="23"/>
      <c r="J292" s="24"/>
      <c r="K292" s="23"/>
      <c r="O292" s="28"/>
    </row>
    <row r="293" ht="15.75" customHeight="1">
      <c r="B293" s="24"/>
      <c r="C293" s="23"/>
      <c r="F293" s="24"/>
      <c r="G293" s="23"/>
      <c r="J293" s="24"/>
      <c r="K293" s="23"/>
      <c r="O293" s="28"/>
    </row>
    <row r="294" ht="15.75" customHeight="1">
      <c r="B294" s="24"/>
      <c r="C294" s="23"/>
      <c r="F294" s="24"/>
      <c r="G294" s="23"/>
      <c r="J294" s="24"/>
      <c r="K294" s="23"/>
      <c r="O294" s="28"/>
    </row>
    <row r="295" ht="15.75" customHeight="1">
      <c r="B295" s="24"/>
      <c r="C295" s="23"/>
      <c r="F295" s="24"/>
      <c r="G295" s="23"/>
      <c r="J295" s="24"/>
      <c r="K295" s="23"/>
      <c r="O295" s="28"/>
    </row>
    <row r="296" ht="15.75" customHeight="1">
      <c r="B296" s="24"/>
      <c r="C296" s="23"/>
      <c r="F296" s="24"/>
      <c r="G296" s="23"/>
      <c r="J296" s="24"/>
      <c r="K296" s="23"/>
      <c r="O296" s="28"/>
    </row>
    <row r="297" ht="15.75" customHeight="1">
      <c r="B297" s="24"/>
      <c r="C297" s="23"/>
      <c r="F297" s="24"/>
      <c r="G297" s="23"/>
      <c r="J297" s="24"/>
      <c r="K297" s="23"/>
      <c r="O297" s="28"/>
    </row>
    <row r="298" ht="15.75" customHeight="1">
      <c r="B298" s="24"/>
      <c r="C298" s="23"/>
      <c r="F298" s="24"/>
      <c r="G298" s="23"/>
      <c r="J298" s="24"/>
      <c r="K298" s="23"/>
      <c r="O298" s="28"/>
    </row>
    <row r="299" ht="15.75" customHeight="1">
      <c r="B299" s="24"/>
      <c r="C299" s="23"/>
      <c r="F299" s="24"/>
      <c r="G299" s="23"/>
      <c r="J299" s="24"/>
      <c r="K299" s="23"/>
      <c r="O299" s="28"/>
    </row>
    <row r="300" ht="15.75" customHeight="1">
      <c r="B300" s="24"/>
      <c r="C300" s="23"/>
      <c r="F300" s="24"/>
      <c r="G300" s="23"/>
      <c r="J300" s="24"/>
      <c r="K300" s="23"/>
      <c r="O300" s="28"/>
    </row>
    <row r="301" ht="15.75" customHeight="1">
      <c r="O301" s="28"/>
    </row>
    <row r="302" ht="15.75" customHeight="1">
      <c r="O302" s="28"/>
    </row>
    <row r="303" ht="15.75" customHeight="1">
      <c r="O303" s="28"/>
    </row>
    <row r="304" ht="15.75" customHeight="1">
      <c r="O304" s="28"/>
    </row>
    <row r="305" ht="15.75" customHeight="1">
      <c r="O305" s="28"/>
    </row>
    <row r="306" ht="15.75" customHeight="1">
      <c r="O306" s="28"/>
    </row>
    <row r="307" ht="15.75" customHeight="1">
      <c r="O307" s="28"/>
    </row>
    <row r="308" ht="15.75" customHeight="1">
      <c r="O308" s="28"/>
    </row>
    <row r="309" ht="15.75" customHeight="1">
      <c r="O309" s="28"/>
    </row>
    <row r="310" ht="15.75" customHeight="1">
      <c r="O310" s="28"/>
    </row>
    <row r="311" ht="15.75" customHeight="1">
      <c r="O311" s="28"/>
    </row>
    <row r="312" ht="15.75" customHeight="1">
      <c r="O312" s="28"/>
    </row>
    <row r="313" ht="15.75" customHeight="1">
      <c r="O313" s="28"/>
    </row>
    <row r="314" ht="15.75" customHeight="1">
      <c r="O314" s="28"/>
    </row>
    <row r="315" ht="15.75" customHeight="1">
      <c r="O315" s="28"/>
    </row>
    <row r="316" ht="15.75" customHeight="1">
      <c r="O316" s="28"/>
    </row>
    <row r="317" ht="15.75" customHeight="1">
      <c r="O317" s="28"/>
    </row>
    <row r="318" ht="15.75" customHeight="1">
      <c r="O318" s="28"/>
    </row>
    <row r="319" ht="15.75" customHeight="1">
      <c r="O319" s="28"/>
    </row>
    <row r="320" ht="15.75" customHeight="1">
      <c r="O320" s="28"/>
    </row>
    <row r="321" ht="15.75" customHeight="1">
      <c r="O321" s="28"/>
    </row>
    <row r="322" ht="15.75" customHeight="1">
      <c r="O322" s="28"/>
    </row>
    <row r="323" ht="15.75" customHeight="1">
      <c r="O323" s="28"/>
    </row>
    <row r="324" ht="15.75" customHeight="1">
      <c r="O324" s="28"/>
    </row>
    <row r="325" ht="15.75" customHeight="1">
      <c r="O325" s="28"/>
    </row>
    <row r="326" ht="15.75" customHeight="1">
      <c r="O326" s="28"/>
    </row>
    <row r="327" ht="15.75" customHeight="1">
      <c r="O327" s="28"/>
    </row>
    <row r="328" ht="15.75" customHeight="1">
      <c r="O328" s="28"/>
    </row>
    <row r="329" ht="15.75" customHeight="1">
      <c r="O329" s="28"/>
    </row>
    <row r="330" ht="15.75" customHeight="1">
      <c r="O330" s="28"/>
    </row>
    <row r="331" ht="15.75" customHeight="1">
      <c r="O331" s="28"/>
    </row>
    <row r="332" ht="15.75" customHeight="1">
      <c r="O332" s="28"/>
    </row>
    <row r="333" ht="15.75" customHeight="1">
      <c r="O333" s="28"/>
    </row>
    <row r="334" ht="15.75" customHeight="1">
      <c r="O334" s="28"/>
    </row>
    <row r="335" ht="15.75" customHeight="1">
      <c r="O335" s="28"/>
    </row>
    <row r="336" ht="15.75" customHeight="1">
      <c r="O336" s="28"/>
    </row>
    <row r="337" ht="15.75" customHeight="1">
      <c r="O337" s="28"/>
    </row>
    <row r="338" ht="15.75" customHeight="1">
      <c r="O338" s="28"/>
    </row>
    <row r="339" ht="15.75" customHeight="1">
      <c r="O339" s="28"/>
    </row>
    <row r="340" ht="15.75" customHeight="1">
      <c r="O340" s="28"/>
    </row>
    <row r="341" ht="15.75" customHeight="1">
      <c r="O341" s="28"/>
    </row>
    <row r="342" ht="15.75" customHeight="1">
      <c r="O342" s="28"/>
    </row>
    <row r="343" ht="15.75" customHeight="1">
      <c r="O343" s="28"/>
    </row>
    <row r="344" ht="15.75" customHeight="1">
      <c r="O344" s="28"/>
    </row>
    <row r="345" ht="15.75" customHeight="1">
      <c r="O345" s="28"/>
    </row>
    <row r="346" ht="15.75" customHeight="1">
      <c r="O346" s="28"/>
    </row>
    <row r="347" ht="15.75" customHeight="1">
      <c r="O347" s="28"/>
    </row>
    <row r="348" ht="15.75" customHeight="1">
      <c r="O348" s="28"/>
    </row>
    <row r="349" ht="15.75" customHeight="1">
      <c r="O349" s="28"/>
    </row>
    <row r="350" ht="15.75" customHeight="1">
      <c r="O350" s="28"/>
    </row>
    <row r="351" ht="15.75" customHeight="1">
      <c r="O351" s="28"/>
    </row>
    <row r="352" ht="15.75" customHeight="1">
      <c r="O352" s="28"/>
    </row>
    <row r="353" ht="15.75" customHeight="1">
      <c r="O353" s="28"/>
    </row>
    <row r="354" ht="15.75" customHeight="1">
      <c r="O354" s="28"/>
    </row>
    <row r="355" ht="15.75" customHeight="1">
      <c r="O355" s="28"/>
    </row>
    <row r="356" ht="15.75" customHeight="1">
      <c r="O356" s="28"/>
    </row>
    <row r="357" ht="15.75" customHeight="1">
      <c r="O357" s="28"/>
    </row>
    <row r="358" ht="15.75" customHeight="1">
      <c r="O358" s="28"/>
    </row>
    <row r="359" ht="15.75" customHeight="1">
      <c r="O359" s="28"/>
    </row>
    <row r="360" ht="15.75" customHeight="1">
      <c r="O360" s="28"/>
    </row>
    <row r="361" ht="15.75" customHeight="1">
      <c r="O361" s="28"/>
    </row>
    <row r="362" ht="15.75" customHeight="1">
      <c r="O362" s="28"/>
    </row>
    <row r="363" ht="15.75" customHeight="1">
      <c r="O363" s="28"/>
    </row>
    <row r="364" ht="15.75" customHeight="1">
      <c r="O364" s="28"/>
    </row>
    <row r="365" ht="15.75" customHeight="1">
      <c r="O365" s="28"/>
    </row>
    <row r="366" ht="15.75" customHeight="1">
      <c r="O366" s="28"/>
    </row>
    <row r="367" ht="15.75" customHeight="1">
      <c r="O367" s="28"/>
    </row>
    <row r="368" ht="15.75" customHeight="1">
      <c r="O368" s="28"/>
    </row>
    <row r="369" ht="15.75" customHeight="1">
      <c r="O369" s="28"/>
    </row>
    <row r="370" ht="15.75" customHeight="1">
      <c r="O370" s="28"/>
    </row>
    <row r="371" ht="15.75" customHeight="1">
      <c r="O371" s="28"/>
    </row>
    <row r="372" ht="15.75" customHeight="1">
      <c r="O372" s="28"/>
    </row>
    <row r="373" ht="15.75" customHeight="1">
      <c r="O373" s="28"/>
    </row>
    <row r="374" ht="15.75" customHeight="1">
      <c r="O374" s="28"/>
    </row>
    <row r="375" ht="15.75" customHeight="1">
      <c r="O375" s="28"/>
    </row>
    <row r="376" ht="15.75" customHeight="1">
      <c r="O376" s="28"/>
    </row>
    <row r="377" ht="15.75" customHeight="1">
      <c r="O377" s="28"/>
    </row>
    <row r="378" ht="15.75" customHeight="1">
      <c r="O378" s="28"/>
    </row>
    <row r="379" ht="15.75" customHeight="1">
      <c r="O379" s="28"/>
    </row>
    <row r="380" ht="15.75" customHeight="1">
      <c r="O380" s="28"/>
    </row>
    <row r="381" ht="15.75" customHeight="1">
      <c r="O381" s="28"/>
    </row>
    <row r="382" ht="15.75" customHeight="1">
      <c r="O382" s="28"/>
    </row>
    <row r="383" ht="15.75" customHeight="1">
      <c r="O383" s="28"/>
    </row>
    <row r="384" ht="15.75" customHeight="1">
      <c r="O384" s="28"/>
    </row>
    <row r="385" ht="15.75" customHeight="1">
      <c r="O385" s="28"/>
    </row>
    <row r="386" ht="15.75" customHeight="1">
      <c r="O386" s="28"/>
    </row>
    <row r="387" ht="15.75" customHeight="1">
      <c r="O387" s="28"/>
    </row>
    <row r="388" ht="15.75" customHeight="1">
      <c r="O388" s="28"/>
    </row>
    <row r="389" ht="15.75" customHeight="1">
      <c r="O389" s="28"/>
    </row>
    <row r="390" ht="15.75" customHeight="1">
      <c r="O390" s="28"/>
    </row>
    <row r="391" ht="15.75" customHeight="1">
      <c r="O391" s="28"/>
    </row>
    <row r="392" ht="15.75" customHeight="1">
      <c r="O392" s="28"/>
    </row>
    <row r="393" ht="15.75" customHeight="1">
      <c r="O393" s="28"/>
    </row>
    <row r="394" ht="15.75" customHeight="1">
      <c r="O394" s="28"/>
    </row>
    <row r="395" ht="15.75" customHeight="1">
      <c r="O395" s="28"/>
    </row>
    <row r="396" ht="15.75" customHeight="1">
      <c r="O396" s="28"/>
    </row>
    <row r="397" ht="15.75" customHeight="1">
      <c r="O397" s="28"/>
    </row>
    <row r="398" ht="15.75" customHeight="1">
      <c r="O398" s="28"/>
    </row>
    <row r="399" ht="15.75" customHeight="1">
      <c r="O399" s="28"/>
    </row>
    <row r="400" ht="15.75" customHeight="1">
      <c r="O400" s="28"/>
    </row>
    <row r="401" ht="15.75" customHeight="1">
      <c r="O401" s="28"/>
    </row>
    <row r="402" ht="15.75" customHeight="1">
      <c r="O402" s="28"/>
    </row>
    <row r="403" ht="15.75" customHeight="1">
      <c r="O403" s="28"/>
    </row>
    <row r="404" ht="15.75" customHeight="1">
      <c r="O404" s="28"/>
    </row>
    <row r="405" ht="15.75" customHeight="1">
      <c r="O405" s="28"/>
    </row>
    <row r="406" ht="15.75" customHeight="1">
      <c r="O406" s="28"/>
    </row>
    <row r="407" ht="15.75" customHeight="1">
      <c r="O407" s="28"/>
    </row>
    <row r="408" ht="15.75" customHeight="1">
      <c r="O408" s="28"/>
    </row>
    <row r="409" ht="15.75" customHeight="1">
      <c r="O409" s="28"/>
    </row>
    <row r="410" ht="15.75" customHeight="1">
      <c r="O410" s="28"/>
    </row>
    <row r="411" ht="15.75" customHeight="1">
      <c r="O411" s="28"/>
    </row>
    <row r="412" ht="15.75" customHeight="1">
      <c r="O412" s="28"/>
    </row>
    <row r="413" ht="15.75" customHeight="1">
      <c r="O413" s="28"/>
    </row>
    <row r="414" ht="15.75" customHeight="1">
      <c r="O414" s="28"/>
    </row>
    <row r="415" ht="15.75" customHeight="1">
      <c r="O415" s="28"/>
    </row>
    <row r="416" ht="15.75" customHeight="1">
      <c r="O416" s="28"/>
    </row>
    <row r="417" ht="15.75" customHeight="1">
      <c r="O417" s="28"/>
    </row>
    <row r="418" ht="15.75" customHeight="1">
      <c r="O418" s="28"/>
    </row>
    <row r="419" ht="15.75" customHeight="1">
      <c r="O419" s="28"/>
    </row>
    <row r="420" ht="15.75" customHeight="1">
      <c r="O420" s="28"/>
    </row>
    <row r="421" ht="15.75" customHeight="1">
      <c r="O421" s="28"/>
    </row>
    <row r="422" ht="15.75" customHeight="1">
      <c r="O422" s="28"/>
    </row>
    <row r="423" ht="15.75" customHeight="1">
      <c r="O423" s="28"/>
    </row>
    <row r="424" ht="15.75" customHeight="1">
      <c r="O424" s="28"/>
    </row>
    <row r="425" ht="15.75" customHeight="1">
      <c r="O425" s="28"/>
    </row>
    <row r="426" ht="15.75" customHeight="1">
      <c r="O426" s="28"/>
    </row>
    <row r="427" ht="15.75" customHeight="1">
      <c r="O427" s="28"/>
    </row>
    <row r="428" ht="15.75" customHeight="1">
      <c r="O428" s="28"/>
    </row>
    <row r="429" ht="15.75" customHeight="1">
      <c r="O429" s="28"/>
    </row>
    <row r="430" ht="15.75" customHeight="1">
      <c r="O430" s="28"/>
    </row>
    <row r="431" ht="15.75" customHeight="1">
      <c r="O431" s="28"/>
    </row>
    <row r="432" ht="15.75" customHeight="1">
      <c r="O432" s="28"/>
    </row>
    <row r="433" ht="15.75" customHeight="1">
      <c r="O433" s="28"/>
    </row>
    <row r="434" ht="15.75" customHeight="1">
      <c r="O434" s="28"/>
    </row>
    <row r="435" ht="15.75" customHeight="1">
      <c r="O435" s="28"/>
    </row>
    <row r="436" ht="15.75" customHeight="1">
      <c r="O436" s="28"/>
    </row>
    <row r="437" ht="15.75" customHeight="1">
      <c r="O437" s="28"/>
    </row>
    <row r="438" ht="15.75" customHeight="1">
      <c r="O438" s="28"/>
    </row>
    <row r="439" ht="15.75" customHeight="1">
      <c r="O439" s="28"/>
    </row>
    <row r="440" ht="15.75" customHeight="1">
      <c r="O440" s="28"/>
    </row>
    <row r="441" ht="15.75" customHeight="1">
      <c r="O441" s="28"/>
    </row>
    <row r="442" ht="15.75" customHeight="1">
      <c r="O442" s="28"/>
    </row>
    <row r="443" ht="15.75" customHeight="1">
      <c r="O443" s="28"/>
    </row>
    <row r="444" ht="15.75" customHeight="1">
      <c r="O444" s="28"/>
    </row>
    <row r="445" ht="15.75" customHeight="1">
      <c r="O445" s="28"/>
    </row>
    <row r="446" ht="15.75" customHeight="1">
      <c r="O446" s="28"/>
    </row>
    <row r="447" ht="15.75" customHeight="1">
      <c r="O447" s="28"/>
    </row>
    <row r="448" ht="15.75" customHeight="1">
      <c r="O448" s="28"/>
    </row>
    <row r="449" ht="15.75" customHeight="1">
      <c r="O449" s="28"/>
    </row>
    <row r="450" ht="15.75" customHeight="1">
      <c r="O450" s="28"/>
    </row>
    <row r="451" ht="15.75" customHeight="1">
      <c r="O451" s="28"/>
    </row>
    <row r="452" ht="15.75" customHeight="1">
      <c r="O452" s="28"/>
    </row>
    <row r="453" ht="15.75" customHeight="1">
      <c r="O453" s="28"/>
    </row>
    <row r="454" ht="15.75" customHeight="1">
      <c r="O454" s="28"/>
    </row>
    <row r="455" ht="15.75" customHeight="1">
      <c r="O455" s="28"/>
    </row>
    <row r="456" ht="15.75" customHeight="1">
      <c r="O456" s="28"/>
    </row>
    <row r="457" ht="15.75" customHeight="1">
      <c r="O457" s="28"/>
    </row>
    <row r="458" ht="15.75" customHeight="1">
      <c r="O458" s="28"/>
    </row>
    <row r="459" ht="15.75" customHeight="1">
      <c r="O459" s="28"/>
    </row>
    <row r="460" ht="15.75" customHeight="1">
      <c r="O460" s="28"/>
    </row>
    <row r="461" ht="15.75" customHeight="1">
      <c r="O461" s="28"/>
    </row>
    <row r="462" ht="15.75" customHeight="1">
      <c r="O462" s="28"/>
    </row>
    <row r="463" ht="15.75" customHeight="1">
      <c r="O463" s="28"/>
    </row>
    <row r="464" ht="15.75" customHeight="1">
      <c r="O464" s="28"/>
    </row>
    <row r="465" ht="15.75" customHeight="1">
      <c r="O465" s="28"/>
    </row>
    <row r="466" ht="15.75" customHeight="1">
      <c r="O466" s="28"/>
    </row>
    <row r="467" ht="15.75" customHeight="1">
      <c r="O467" s="28"/>
    </row>
    <row r="468" ht="15.75" customHeight="1">
      <c r="O468" s="28"/>
    </row>
    <row r="469" ht="15.75" customHeight="1">
      <c r="O469" s="28"/>
    </row>
    <row r="470" ht="15.75" customHeight="1">
      <c r="O470" s="28"/>
    </row>
    <row r="471" ht="15.75" customHeight="1">
      <c r="O471" s="28"/>
    </row>
    <row r="472" ht="15.75" customHeight="1">
      <c r="O472" s="28"/>
    </row>
    <row r="473" ht="15.75" customHeight="1">
      <c r="O473" s="28"/>
    </row>
    <row r="474" ht="15.75" customHeight="1">
      <c r="O474" s="28"/>
    </row>
    <row r="475" ht="15.75" customHeight="1">
      <c r="O475" s="28"/>
    </row>
    <row r="476" ht="15.75" customHeight="1">
      <c r="O476" s="28"/>
    </row>
    <row r="477" ht="15.75" customHeight="1">
      <c r="O477" s="28"/>
    </row>
    <row r="478" ht="15.75" customHeight="1">
      <c r="O478" s="28"/>
    </row>
    <row r="479" ht="15.75" customHeight="1">
      <c r="O479" s="28"/>
    </row>
    <row r="480" ht="15.75" customHeight="1">
      <c r="O480" s="28"/>
    </row>
    <row r="481" ht="15.75" customHeight="1">
      <c r="O481" s="28"/>
    </row>
    <row r="482" ht="15.75" customHeight="1">
      <c r="O482" s="28"/>
    </row>
    <row r="483" ht="15.75" customHeight="1">
      <c r="O483" s="28"/>
    </row>
    <row r="484" ht="15.75" customHeight="1">
      <c r="O484" s="28"/>
    </row>
    <row r="485" ht="15.75" customHeight="1">
      <c r="O485" s="28"/>
    </row>
    <row r="486" ht="15.75" customHeight="1">
      <c r="O486" s="28"/>
    </row>
    <row r="487" ht="15.75" customHeight="1">
      <c r="O487" s="28"/>
    </row>
    <row r="488" ht="15.75" customHeight="1">
      <c r="O488" s="28"/>
    </row>
    <row r="489" ht="15.75" customHeight="1">
      <c r="O489" s="28"/>
    </row>
    <row r="490" ht="15.75" customHeight="1">
      <c r="O490" s="28"/>
    </row>
    <row r="491" ht="15.75" customHeight="1">
      <c r="O491" s="28"/>
    </row>
    <row r="492" ht="15.75" customHeight="1">
      <c r="O492" s="28"/>
    </row>
    <row r="493" ht="15.75" customHeight="1">
      <c r="O493" s="28"/>
    </row>
    <row r="494" ht="15.75" customHeight="1">
      <c r="O494" s="28"/>
    </row>
    <row r="495" ht="15.75" customHeight="1">
      <c r="O495" s="28"/>
    </row>
    <row r="496" ht="15.75" customHeight="1">
      <c r="O496" s="28"/>
    </row>
    <row r="497" ht="15.75" customHeight="1">
      <c r="O497" s="28"/>
    </row>
    <row r="498" ht="15.75" customHeight="1">
      <c r="O498" s="28"/>
    </row>
    <row r="499" ht="15.75" customHeight="1">
      <c r="O499" s="28"/>
    </row>
    <row r="500" ht="15.75" customHeight="1">
      <c r="O500" s="28"/>
    </row>
    <row r="501" ht="15.75" customHeight="1">
      <c r="O501" s="28"/>
    </row>
    <row r="502" ht="15.75" customHeight="1">
      <c r="O502" s="28"/>
    </row>
    <row r="503" ht="15.75" customHeight="1">
      <c r="O503" s="28"/>
    </row>
    <row r="504" ht="15.75" customHeight="1">
      <c r="O504" s="28"/>
    </row>
    <row r="505" ht="15.75" customHeight="1">
      <c r="O505" s="28"/>
    </row>
    <row r="506" ht="15.75" customHeight="1">
      <c r="O506" s="28"/>
    </row>
    <row r="507" ht="15.75" customHeight="1">
      <c r="O507" s="28"/>
    </row>
    <row r="508" ht="15.75" customHeight="1">
      <c r="O508" s="28"/>
    </row>
    <row r="509" ht="15.75" customHeight="1">
      <c r="O509" s="28"/>
    </row>
    <row r="510" ht="15.75" customHeight="1">
      <c r="O510" s="28"/>
    </row>
    <row r="511" ht="15.75" customHeight="1">
      <c r="O511" s="28"/>
    </row>
    <row r="512" ht="15.75" customHeight="1">
      <c r="O512" s="28"/>
    </row>
    <row r="513" ht="15.75" customHeight="1">
      <c r="O513" s="28"/>
    </row>
    <row r="514" ht="15.75" customHeight="1">
      <c r="O514" s="28"/>
    </row>
    <row r="515" ht="15.75" customHeight="1">
      <c r="O515" s="28"/>
    </row>
    <row r="516" ht="15.75" customHeight="1">
      <c r="O516" s="28"/>
    </row>
    <row r="517" ht="15.75" customHeight="1">
      <c r="O517" s="28"/>
    </row>
    <row r="518" ht="15.75" customHeight="1">
      <c r="O518" s="28"/>
    </row>
    <row r="519" ht="15.75" customHeight="1">
      <c r="O519" s="28"/>
    </row>
    <row r="520" ht="15.75" customHeight="1">
      <c r="O520" s="28"/>
    </row>
    <row r="521" ht="15.75" customHeight="1">
      <c r="O521" s="28"/>
    </row>
    <row r="522" ht="15.75" customHeight="1">
      <c r="O522" s="28"/>
    </row>
    <row r="523" ht="15.75" customHeight="1">
      <c r="O523" s="28"/>
    </row>
    <row r="524" ht="15.75" customHeight="1">
      <c r="O524" s="28"/>
    </row>
    <row r="525" ht="15.75" customHeight="1">
      <c r="O525" s="28"/>
    </row>
    <row r="526" ht="15.75" customHeight="1">
      <c r="O526" s="28"/>
    </row>
    <row r="527" ht="15.75" customHeight="1">
      <c r="O527" s="28"/>
    </row>
    <row r="528" ht="15.75" customHeight="1">
      <c r="O528" s="28"/>
    </row>
    <row r="529" ht="15.75" customHeight="1">
      <c r="O529" s="28"/>
    </row>
    <row r="530" ht="15.75" customHeight="1">
      <c r="O530" s="28"/>
    </row>
    <row r="531" ht="15.75" customHeight="1">
      <c r="O531" s="28"/>
    </row>
    <row r="532" ht="15.75" customHeight="1">
      <c r="O532" s="28"/>
    </row>
    <row r="533" ht="15.75" customHeight="1">
      <c r="O533" s="28"/>
    </row>
    <row r="534" ht="15.75" customHeight="1">
      <c r="O534" s="28"/>
    </row>
    <row r="535" ht="15.75" customHeight="1">
      <c r="O535" s="28"/>
    </row>
    <row r="536" ht="15.75" customHeight="1">
      <c r="O536" s="28"/>
    </row>
    <row r="537" ht="15.75" customHeight="1">
      <c r="O537" s="28"/>
    </row>
    <row r="538" ht="15.75" customHeight="1">
      <c r="O538" s="28"/>
    </row>
    <row r="539" ht="15.75" customHeight="1">
      <c r="O539" s="28"/>
    </row>
    <row r="540" ht="15.75" customHeight="1">
      <c r="O540" s="28"/>
    </row>
    <row r="541" ht="15.75" customHeight="1">
      <c r="O541" s="28"/>
    </row>
    <row r="542" ht="15.75" customHeight="1">
      <c r="O542" s="28"/>
    </row>
    <row r="543" ht="15.75" customHeight="1">
      <c r="O543" s="28"/>
    </row>
    <row r="544" ht="15.75" customHeight="1">
      <c r="O544" s="28"/>
    </row>
    <row r="545" ht="15.75" customHeight="1">
      <c r="O545" s="28"/>
    </row>
    <row r="546" ht="15.75" customHeight="1">
      <c r="O546" s="28"/>
    </row>
    <row r="547" ht="15.75" customHeight="1">
      <c r="O547" s="28"/>
    </row>
    <row r="548" ht="15.75" customHeight="1">
      <c r="O548" s="28"/>
    </row>
    <row r="549" ht="15.75" customHeight="1">
      <c r="O549" s="28"/>
    </row>
    <row r="550" ht="15.75" customHeight="1">
      <c r="O550" s="28"/>
    </row>
    <row r="551" ht="15.75" customHeight="1">
      <c r="O551" s="28"/>
    </row>
    <row r="552" ht="15.75" customHeight="1">
      <c r="O552" s="28"/>
    </row>
    <row r="553" ht="15.75" customHeight="1">
      <c r="O553" s="28"/>
    </row>
    <row r="554" ht="15.75" customHeight="1">
      <c r="O554" s="28"/>
    </row>
    <row r="555" ht="15.75" customHeight="1">
      <c r="O555" s="28"/>
    </row>
    <row r="556" ht="15.75" customHeight="1">
      <c r="O556" s="28"/>
    </row>
    <row r="557" ht="15.75" customHeight="1">
      <c r="O557" s="28"/>
    </row>
    <row r="558" ht="15.75" customHeight="1">
      <c r="O558" s="28"/>
    </row>
    <row r="559" ht="15.75" customHeight="1">
      <c r="O559" s="28"/>
    </row>
    <row r="560" ht="15.75" customHeight="1">
      <c r="O560" s="28"/>
    </row>
    <row r="561" ht="15.75" customHeight="1">
      <c r="O561" s="28"/>
    </row>
    <row r="562" ht="15.75" customHeight="1">
      <c r="O562" s="28"/>
    </row>
    <row r="563" ht="15.75" customHeight="1">
      <c r="O563" s="28"/>
    </row>
    <row r="564" ht="15.75" customHeight="1">
      <c r="O564" s="28"/>
    </row>
    <row r="565" ht="15.75" customHeight="1">
      <c r="O565" s="28"/>
    </row>
    <row r="566" ht="15.75" customHeight="1">
      <c r="O566" s="28"/>
    </row>
    <row r="567" ht="15.75" customHeight="1">
      <c r="O567" s="28"/>
    </row>
    <row r="568" ht="15.75" customHeight="1">
      <c r="O568" s="28"/>
    </row>
    <row r="569" ht="15.75" customHeight="1">
      <c r="O569" s="28"/>
    </row>
    <row r="570" ht="15.75" customHeight="1">
      <c r="O570" s="28"/>
    </row>
    <row r="571" ht="15.75" customHeight="1">
      <c r="O571" s="28"/>
    </row>
    <row r="572" ht="15.75" customHeight="1">
      <c r="O572" s="28"/>
    </row>
    <row r="573" ht="15.75" customHeight="1">
      <c r="O573" s="28"/>
    </row>
    <row r="574" ht="15.75" customHeight="1">
      <c r="O574" s="28"/>
    </row>
    <row r="575" ht="15.75" customHeight="1">
      <c r="O575" s="28"/>
    </row>
    <row r="576" ht="15.75" customHeight="1">
      <c r="O576" s="28"/>
    </row>
    <row r="577" ht="15.75" customHeight="1">
      <c r="O577" s="28"/>
    </row>
    <row r="578" ht="15.75" customHeight="1">
      <c r="O578" s="28"/>
    </row>
    <row r="579" ht="15.75" customHeight="1">
      <c r="O579" s="28"/>
    </row>
    <row r="580" ht="15.75" customHeight="1">
      <c r="O580" s="28"/>
    </row>
    <row r="581" ht="15.75" customHeight="1">
      <c r="O581" s="28"/>
    </row>
    <row r="582" ht="15.75" customHeight="1">
      <c r="O582" s="28"/>
    </row>
    <row r="583" ht="15.75" customHeight="1">
      <c r="O583" s="28"/>
    </row>
    <row r="584" ht="15.75" customHeight="1">
      <c r="O584" s="28"/>
    </row>
    <row r="585" ht="15.75" customHeight="1">
      <c r="O585" s="28"/>
    </row>
    <row r="586" ht="15.75" customHeight="1">
      <c r="O586" s="28"/>
    </row>
    <row r="587" ht="15.75" customHeight="1">
      <c r="O587" s="28"/>
    </row>
    <row r="588" ht="15.75" customHeight="1">
      <c r="O588" s="28"/>
    </row>
    <row r="589" ht="15.75" customHeight="1">
      <c r="O589" s="28"/>
    </row>
    <row r="590" ht="15.75" customHeight="1">
      <c r="O590" s="28"/>
    </row>
    <row r="591" ht="15.75" customHeight="1">
      <c r="O591" s="28"/>
    </row>
    <row r="592" ht="15.75" customHeight="1">
      <c r="O592" s="28"/>
    </row>
    <row r="593" ht="15.75" customHeight="1">
      <c r="O593" s="28"/>
    </row>
    <row r="594" ht="15.75" customHeight="1">
      <c r="O594" s="28"/>
    </row>
    <row r="595" ht="15.75" customHeight="1">
      <c r="O595" s="28"/>
    </row>
    <row r="596" ht="15.75" customHeight="1">
      <c r="O596" s="28"/>
    </row>
    <row r="597" ht="15.75" customHeight="1">
      <c r="O597" s="28"/>
    </row>
    <row r="598" ht="15.75" customHeight="1">
      <c r="O598" s="28"/>
    </row>
    <row r="599" ht="15.75" customHeight="1">
      <c r="O599" s="28"/>
    </row>
    <row r="600" ht="15.75" customHeight="1">
      <c r="O600" s="28"/>
    </row>
    <row r="601" ht="15.75" customHeight="1">
      <c r="O601" s="28"/>
    </row>
    <row r="602" ht="15.75" customHeight="1">
      <c r="O602" s="28"/>
    </row>
    <row r="603" ht="15.75" customHeight="1">
      <c r="O603" s="28"/>
    </row>
    <row r="604" ht="15.75" customHeight="1">
      <c r="O604" s="28"/>
    </row>
    <row r="605" ht="15.75" customHeight="1">
      <c r="O605" s="28"/>
    </row>
    <row r="606" ht="15.75" customHeight="1">
      <c r="O606" s="28"/>
    </row>
    <row r="607" ht="15.75" customHeight="1">
      <c r="O607" s="28"/>
    </row>
    <row r="608" ht="15.75" customHeight="1">
      <c r="O608" s="28"/>
    </row>
    <row r="609" ht="15.75" customHeight="1">
      <c r="O609" s="28"/>
    </row>
    <row r="610" ht="15.75" customHeight="1">
      <c r="O610" s="28"/>
    </row>
    <row r="611" ht="15.75" customHeight="1">
      <c r="O611" s="28"/>
    </row>
    <row r="612" ht="15.75" customHeight="1">
      <c r="O612" s="28"/>
    </row>
    <row r="613" ht="15.75" customHeight="1">
      <c r="O613" s="28"/>
    </row>
    <row r="614" ht="15.75" customHeight="1">
      <c r="O614" s="28"/>
    </row>
    <row r="615" ht="15.75" customHeight="1">
      <c r="O615" s="28"/>
    </row>
    <row r="616" ht="15.75" customHeight="1">
      <c r="O616" s="28"/>
    </row>
    <row r="617" ht="15.75" customHeight="1">
      <c r="O617" s="28"/>
    </row>
    <row r="618" ht="15.75" customHeight="1">
      <c r="O618" s="28"/>
    </row>
    <row r="619" ht="15.75" customHeight="1">
      <c r="O619" s="28"/>
    </row>
    <row r="620" ht="15.75" customHeight="1">
      <c r="O620" s="28"/>
    </row>
    <row r="621" ht="15.75" customHeight="1">
      <c r="O621" s="28"/>
    </row>
    <row r="622" ht="15.75" customHeight="1">
      <c r="O622" s="28"/>
    </row>
    <row r="623" ht="15.75" customHeight="1">
      <c r="O623" s="28"/>
    </row>
    <row r="624" ht="15.75" customHeight="1">
      <c r="O624" s="28"/>
    </row>
    <row r="625" ht="15.75" customHeight="1">
      <c r="O625" s="28"/>
    </row>
    <row r="626" ht="15.75" customHeight="1">
      <c r="O626" s="28"/>
    </row>
    <row r="627" ht="15.75" customHeight="1">
      <c r="O627" s="28"/>
    </row>
    <row r="628" ht="15.75" customHeight="1">
      <c r="O628" s="28"/>
    </row>
    <row r="629" ht="15.75" customHeight="1">
      <c r="O629" s="28"/>
    </row>
    <row r="630" ht="15.75" customHeight="1">
      <c r="O630" s="28"/>
    </row>
    <row r="631" ht="15.75" customHeight="1">
      <c r="O631" s="28"/>
    </row>
    <row r="632" ht="15.75" customHeight="1">
      <c r="O632" s="28"/>
    </row>
    <row r="633" ht="15.75" customHeight="1">
      <c r="O633" s="28"/>
    </row>
    <row r="634" ht="15.75" customHeight="1">
      <c r="O634" s="28"/>
    </row>
    <row r="635" ht="15.75" customHeight="1">
      <c r="O635" s="28"/>
    </row>
    <row r="636" ht="15.75" customHeight="1">
      <c r="O636" s="28"/>
    </row>
    <row r="637" ht="15.75" customHeight="1">
      <c r="O637" s="28"/>
    </row>
    <row r="638" ht="15.75" customHeight="1">
      <c r="O638" s="28"/>
    </row>
    <row r="639" ht="15.75" customHeight="1">
      <c r="O639" s="28"/>
    </row>
    <row r="640" ht="15.75" customHeight="1">
      <c r="O640" s="28"/>
    </row>
    <row r="641" ht="15.75" customHeight="1">
      <c r="O641" s="28"/>
    </row>
    <row r="642" ht="15.75" customHeight="1">
      <c r="O642" s="28"/>
    </row>
    <row r="643" ht="15.75" customHeight="1">
      <c r="O643" s="28"/>
    </row>
    <row r="644" ht="15.75" customHeight="1">
      <c r="O644" s="28"/>
    </row>
    <row r="645" ht="15.75" customHeight="1">
      <c r="O645" s="28"/>
    </row>
    <row r="646" ht="15.75" customHeight="1">
      <c r="O646" s="28"/>
    </row>
    <row r="647" ht="15.75" customHeight="1">
      <c r="O647" s="28"/>
    </row>
    <row r="648" ht="15.75" customHeight="1">
      <c r="O648" s="28"/>
    </row>
    <row r="649" ht="15.75" customHeight="1">
      <c r="O649" s="28"/>
    </row>
    <row r="650" ht="15.75" customHeight="1">
      <c r="O650" s="28"/>
    </row>
    <row r="651" ht="15.75" customHeight="1">
      <c r="O651" s="28"/>
    </row>
    <row r="652" ht="15.75" customHeight="1">
      <c r="O652" s="28"/>
    </row>
    <row r="653" ht="15.75" customHeight="1">
      <c r="O653" s="28"/>
    </row>
    <row r="654" ht="15.75" customHeight="1">
      <c r="O654" s="28"/>
    </row>
    <row r="655" ht="15.75" customHeight="1">
      <c r="O655" s="28"/>
    </row>
    <row r="656" ht="15.75" customHeight="1">
      <c r="O656" s="28"/>
    </row>
    <row r="657" ht="15.75" customHeight="1">
      <c r="O657" s="28"/>
    </row>
    <row r="658" ht="15.75" customHeight="1">
      <c r="O658" s="28"/>
    </row>
    <row r="659" ht="15.75" customHeight="1">
      <c r="O659" s="28"/>
    </row>
    <row r="660" ht="15.75" customHeight="1">
      <c r="O660" s="28"/>
    </row>
    <row r="661" ht="15.75" customHeight="1">
      <c r="O661" s="28"/>
    </row>
    <row r="662" ht="15.75" customHeight="1">
      <c r="O662" s="28"/>
    </row>
    <row r="663" ht="15.75" customHeight="1">
      <c r="O663" s="28"/>
    </row>
    <row r="664" ht="15.75" customHeight="1">
      <c r="O664" s="28"/>
    </row>
    <row r="665" ht="15.75" customHeight="1">
      <c r="O665" s="28"/>
    </row>
    <row r="666" ht="15.75" customHeight="1">
      <c r="O666" s="28"/>
    </row>
    <row r="667" ht="15.75" customHeight="1">
      <c r="O667" s="28"/>
    </row>
    <row r="668" ht="15.75" customHeight="1">
      <c r="O668" s="28"/>
    </row>
    <row r="669" ht="15.75" customHeight="1">
      <c r="O669" s="28"/>
    </row>
    <row r="670" ht="15.75" customHeight="1">
      <c r="O670" s="28"/>
    </row>
    <row r="671" ht="15.75" customHeight="1">
      <c r="O671" s="28"/>
    </row>
    <row r="672" ht="15.75" customHeight="1">
      <c r="O672" s="28"/>
    </row>
    <row r="673" ht="15.75" customHeight="1">
      <c r="O673" s="28"/>
    </row>
    <row r="674" ht="15.75" customHeight="1">
      <c r="O674" s="28"/>
    </row>
    <row r="675" ht="15.75" customHeight="1">
      <c r="O675" s="28"/>
    </row>
    <row r="676" ht="15.75" customHeight="1">
      <c r="O676" s="28"/>
    </row>
    <row r="677" ht="15.75" customHeight="1">
      <c r="O677" s="28"/>
    </row>
    <row r="678" ht="15.75" customHeight="1">
      <c r="O678" s="28"/>
    </row>
    <row r="679" ht="15.75" customHeight="1">
      <c r="O679" s="28"/>
    </row>
    <row r="680" ht="15.75" customHeight="1">
      <c r="O680" s="28"/>
    </row>
    <row r="681" ht="15.75" customHeight="1">
      <c r="O681" s="28"/>
    </row>
    <row r="682" ht="15.75" customHeight="1">
      <c r="O682" s="28"/>
    </row>
    <row r="683" ht="15.75" customHeight="1">
      <c r="O683" s="28"/>
    </row>
    <row r="684" ht="15.75" customHeight="1">
      <c r="O684" s="28"/>
    </row>
    <row r="685" ht="15.75" customHeight="1">
      <c r="O685" s="28"/>
    </row>
    <row r="686" ht="15.75" customHeight="1">
      <c r="O686" s="28"/>
    </row>
    <row r="687" ht="15.75" customHeight="1">
      <c r="O687" s="28"/>
    </row>
    <row r="688" ht="15.75" customHeight="1">
      <c r="O688" s="28"/>
    </row>
    <row r="689" ht="15.75" customHeight="1">
      <c r="O689" s="28"/>
    </row>
    <row r="690" ht="15.75" customHeight="1">
      <c r="O690" s="28"/>
    </row>
    <row r="691" ht="15.75" customHeight="1">
      <c r="O691" s="28"/>
    </row>
    <row r="692" ht="15.75" customHeight="1">
      <c r="O692" s="28"/>
    </row>
    <row r="693" ht="15.75" customHeight="1">
      <c r="O693" s="28"/>
    </row>
    <row r="694" ht="15.75" customHeight="1">
      <c r="O694" s="28"/>
    </row>
    <row r="695" ht="15.75" customHeight="1">
      <c r="O695" s="28"/>
    </row>
    <row r="696" ht="15.75" customHeight="1">
      <c r="O696" s="28"/>
    </row>
    <row r="697" ht="15.75" customHeight="1">
      <c r="O697" s="28"/>
    </row>
    <row r="698" ht="15.75" customHeight="1">
      <c r="O698" s="28"/>
    </row>
    <row r="699" ht="15.75" customHeight="1">
      <c r="O699" s="28"/>
    </row>
    <row r="700" ht="15.75" customHeight="1">
      <c r="O700" s="28"/>
    </row>
    <row r="701" ht="15.75" customHeight="1">
      <c r="O701" s="28"/>
    </row>
    <row r="702" ht="15.75" customHeight="1">
      <c r="O702" s="28"/>
    </row>
    <row r="703" ht="15.75" customHeight="1">
      <c r="O703" s="28"/>
    </row>
    <row r="704" ht="15.75" customHeight="1">
      <c r="O704" s="28"/>
    </row>
    <row r="705" ht="15.75" customHeight="1">
      <c r="O705" s="28"/>
    </row>
    <row r="706" ht="15.75" customHeight="1">
      <c r="O706" s="28"/>
    </row>
    <row r="707" ht="15.75" customHeight="1">
      <c r="O707" s="28"/>
    </row>
    <row r="708" ht="15.75" customHeight="1">
      <c r="O708" s="28"/>
    </row>
    <row r="709" ht="15.75" customHeight="1">
      <c r="O709" s="28"/>
    </row>
    <row r="710" ht="15.75" customHeight="1">
      <c r="O710" s="28"/>
    </row>
    <row r="711" ht="15.75" customHeight="1">
      <c r="O711" s="28"/>
    </row>
    <row r="712" ht="15.75" customHeight="1">
      <c r="O712" s="28"/>
    </row>
    <row r="713" ht="15.75" customHeight="1">
      <c r="O713" s="28"/>
    </row>
    <row r="714" ht="15.75" customHeight="1">
      <c r="O714" s="28"/>
    </row>
    <row r="715" ht="15.75" customHeight="1">
      <c r="O715" s="28"/>
    </row>
    <row r="716" ht="15.75" customHeight="1">
      <c r="O716" s="28"/>
    </row>
    <row r="717" ht="15.75" customHeight="1">
      <c r="O717" s="28"/>
    </row>
    <row r="718" ht="15.75" customHeight="1">
      <c r="O718" s="28"/>
    </row>
    <row r="719" ht="15.75" customHeight="1">
      <c r="O719" s="28"/>
    </row>
    <row r="720" ht="15.75" customHeight="1">
      <c r="O720" s="28"/>
    </row>
    <row r="721" ht="15.75" customHeight="1">
      <c r="O721" s="28"/>
    </row>
    <row r="722" ht="15.75" customHeight="1">
      <c r="O722" s="28"/>
    </row>
    <row r="723" ht="15.75" customHeight="1">
      <c r="O723" s="28"/>
    </row>
    <row r="724" ht="15.75" customHeight="1">
      <c r="O724" s="28"/>
    </row>
    <row r="725" ht="15.75" customHeight="1">
      <c r="O725" s="28"/>
    </row>
    <row r="726" ht="15.75" customHeight="1">
      <c r="O726" s="28"/>
    </row>
    <row r="727" ht="15.75" customHeight="1">
      <c r="O727" s="28"/>
    </row>
    <row r="728" ht="15.75" customHeight="1">
      <c r="O728" s="28"/>
    </row>
    <row r="729" ht="15.75" customHeight="1">
      <c r="O729" s="28"/>
    </row>
    <row r="730" ht="15.75" customHeight="1">
      <c r="O730" s="28"/>
    </row>
    <row r="731" ht="15.75" customHeight="1">
      <c r="O731" s="28"/>
    </row>
    <row r="732" ht="15.75" customHeight="1">
      <c r="O732" s="28"/>
    </row>
    <row r="733" ht="15.75" customHeight="1">
      <c r="O733" s="28"/>
    </row>
    <row r="734" ht="15.75" customHeight="1">
      <c r="O734" s="28"/>
    </row>
    <row r="735" ht="15.75" customHeight="1">
      <c r="O735" s="28"/>
    </row>
    <row r="736" ht="15.75" customHeight="1">
      <c r="O736" s="28"/>
    </row>
    <row r="737" ht="15.75" customHeight="1">
      <c r="O737" s="28"/>
    </row>
    <row r="738" ht="15.75" customHeight="1">
      <c r="O738" s="28"/>
    </row>
    <row r="739" ht="15.75" customHeight="1">
      <c r="O739" s="28"/>
    </row>
    <row r="740" ht="15.75" customHeight="1">
      <c r="O740" s="28"/>
    </row>
    <row r="741" ht="15.75" customHeight="1">
      <c r="O741" s="28"/>
    </row>
    <row r="742" ht="15.75" customHeight="1">
      <c r="O742" s="28"/>
    </row>
    <row r="743" ht="15.75" customHeight="1">
      <c r="O743" s="28"/>
    </row>
    <row r="744" ht="15.75" customHeight="1">
      <c r="O744" s="28"/>
    </row>
    <row r="745" ht="15.75" customHeight="1">
      <c r="O745" s="28"/>
    </row>
    <row r="746" ht="15.75" customHeight="1">
      <c r="O746" s="28"/>
    </row>
    <row r="747" ht="15.75" customHeight="1">
      <c r="O747" s="28"/>
    </row>
    <row r="748" ht="15.75" customHeight="1">
      <c r="O748" s="28"/>
    </row>
    <row r="749" ht="15.75" customHeight="1">
      <c r="O749" s="28"/>
    </row>
    <row r="750" ht="15.75" customHeight="1">
      <c r="O750" s="28"/>
    </row>
    <row r="751" ht="15.75" customHeight="1">
      <c r="O751" s="28"/>
    </row>
    <row r="752" ht="15.75" customHeight="1">
      <c r="O752" s="28"/>
    </row>
    <row r="753" ht="15.75" customHeight="1">
      <c r="O753" s="28"/>
    </row>
    <row r="754" ht="15.75" customHeight="1">
      <c r="O754" s="28"/>
    </row>
    <row r="755" ht="15.75" customHeight="1">
      <c r="O755" s="28"/>
    </row>
    <row r="756" ht="15.75" customHeight="1">
      <c r="O756" s="28"/>
    </row>
    <row r="757" ht="15.75" customHeight="1">
      <c r="O757" s="28"/>
    </row>
    <row r="758" ht="15.75" customHeight="1">
      <c r="O758" s="28"/>
    </row>
    <row r="759" ht="15.75" customHeight="1">
      <c r="O759" s="28"/>
    </row>
    <row r="760" ht="15.75" customHeight="1">
      <c r="O760" s="28"/>
    </row>
    <row r="761" ht="15.75" customHeight="1">
      <c r="O761" s="28"/>
    </row>
    <row r="762" ht="15.75" customHeight="1">
      <c r="O762" s="28"/>
    </row>
    <row r="763" ht="15.75" customHeight="1">
      <c r="O763" s="28"/>
    </row>
    <row r="764" ht="15.75" customHeight="1">
      <c r="O764" s="28"/>
    </row>
    <row r="765" ht="15.75" customHeight="1">
      <c r="O765" s="28"/>
    </row>
    <row r="766" ht="15.75" customHeight="1">
      <c r="O766" s="28"/>
    </row>
    <row r="767" ht="15.75" customHeight="1">
      <c r="O767" s="28"/>
    </row>
    <row r="768" ht="15.75" customHeight="1">
      <c r="O768" s="28"/>
    </row>
    <row r="769" ht="15.75" customHeight="1">
      <c r="O769" s="28"/>
    </row>
    <row r="770" ht="15.75" customHeight="1">
      <c r="O770" s="28"/>
    </row>
    <row r="771" ht="15.75" customHeight="1">
      <c r="O771" s="28"/>
    </row>
    <row r="772" ht="15.75" customHeight="1">
      <c r="O772" s="28"/>
    </row>
    <row r="773" ht="15.75" customHeight="1">
      <c r="O773" s="28"/>
    </row>
    <row r="774" ht="15.75" customHeight="1">
      <c r="O774" s="28"/>
    </row>
    <row r="775" ht="15.75" customHeight="1">
      <c r="O775" s="28"/>
    </row>
    <row r="776" ht="15.75" customHeight="1">
      <c r="O776" s="28"/>
    </row>
    <row r="777" ht="15.75" customHeight="1">
      <c r="O777" s="28"/>
    </row>
    <row r="778" ht="15.75" customHeight="1">
      <c r="O778" s="28"/>
    </row>
    <row r="779" ht="15.75" customHeight="1">
      <c r="O779" s="28"/>
    </row>
    <row r="780" ht="15.75" customHeight="1">
      <c r="O780" s="28"/>
    </row>
    <row r="781" ht="15.75" customHeight="1">
      <c r="O781" s="28"/>
    </row>
    <row r="782" ht="15.75" customHeight="1">
      <c r="O782" s="28"/>
    </row>
    <row r="783" ht="15.75" customHeight="1">
      <c r="O783" s="28"/>
    </row>
    <row r="784" ht="15.75" customHeight="1">
      <c r="O784" s="28"/>
    </row>
    <row r="785" ht="15.75" customHeight="1">
      <c r="O785" s="28"/>
    </row>
    <row r="786" ht="15.75" customHeight="1">
      <c r="O786" s="28"/>
    </row>
    <row r="787" ht="15.75" customHeight="1">
      <c r="O787" s="28"/>
    </row>
    <row r="788" ht="15.75" customHeight="1">
      <c r="O788" s="28"/>
    </row>
    <row r="789" ht="15.75" customHeight="1">
      <c r="O789" s="28"/>
    </row>
    <row r="790" ht="15.75" customHeight="1">
      <c r="O790" s="28"/>
    </row>
    <row r="791" ht="15.75" customHeight="1">
      <c r="O791" s="28"/>
    </row>
    <row r="792" ht="15.75" customHeight="1">
      <c r="O792" s="28"/>
    </row>
    <row r="793" ht="15.75" customHeight="1">
      <c r="O793" s="28"/>
    </row>
    <row r="794" ht="15.75" customHeight="1">
      <c r="O794" s="28"/>
    </row>
    <row r="795" ht="15.75" customHeight="1">
      <c r="O795" s="28"/>
    </row>
    <row r="796" ht="15.75" customHeight="1">
      <c r="O796" s="28"/>
    </row>
    <row r="797" ht="15.75" customHeight="1">
      <c r="O797" s="28"/>
    </row>
    <row r="798" ht="15.75" customHeight="1">
      <c r="O798" s="28"/>
    </row>
    <row r="799" ht="15.75" customHeight="1">
      <c r="O799" s="28"/>
    </row>
    <row r="800" ht="15.75" customHeight="1">
      <c r="O800" s="28"/>
    </row>
    <row r="801" ht="15.75" customHeight="1">
      <c r="O801" s="28"/>
    </row>
    <row r="802" ht="15.75" customHeight="1">
      <c r="O802" s="28"/>
    </row>
    <row r="803" ht="15.75" customHeight="1">
      <c r="O803" s="28"/>
    </row>
    <row r="804" ht="15.75" customHeight="1">
      <c r="O804" s="28"/>
    </row>
    <row r="805" ht="15.75" customHeight="1">
      <c r="O805" s="28"/>
    </row>
    <row r="806" ht="15.75" customHeight="1">
      <c r="O806" s="28"/>
    </row>
    <row r="807" ht="15.75" customHeight="1">
      <c r="O807" s="28"/>
    </row>
    <row r="808" ht="15.75" customHeight="1">
      <c r="O808" s="28"/>
    </row>
    <row r="809" ht="15.75" customHeight="1">
      <c r="O809" s="28"/>
    </row>
    <row r="810" ht="15.75" customHeight="1">
      <c r="O810" s="28"/>
    </row>
    <row r="811" ht="15.75" customHeight="1">
      <c r="O811" s="28"/>
    </row>
    <row r="812" ht="15.75" customHeight="1">
      <c r="O812" s="28"/>
    </row>
    <row r="813" ht="15.75" customHeight="1">
      <c r="O813" s="28"/>
    </row>
    <row r="814" ht="15.75" customHeight="1">
      <c r="O814" s="28"/>
    </row>
    <row r="815" ht="15.75" customHeight="1">
      <c r="O815" s="28"/>
    </row>
    <row r="816" ht="15.75" customHeight="1">
      <c r="O816" s="28"/>
    </row>
    <row r="817" ht="15.75" customHeight="1">
      <c r="O817" s="28"/>
    </row>
    <row r="818" ht="15.75" customHeight="1">
      <c r="O818" s="28"/>
    </row>
    <row r="819" ht="15.75" customHeight="1">
      <c r="O819" s="28"/>
    </row>
    <row r="820" ht="15.75" customHeight="1">
      <c r="O820" s="28"/>
    </row>
    <row r="821" ht="15.75" customHeight="1">
      <c r="O821" s="28"/>
    </row>
    <row r="822" ht="15.75" customHeight="1">
      <c r="O822" s="28"/>
    </row>
    <row r="823" ht="15.75" customHeight="1">
      <c r="O823" s="28"/>
    </row>
    <row r="824" ht="15.75" customHeight="1">
      <c r="O824" s="28"/>
    </row>
    <row r="825" ht="15.75" customHeight="1">
      <c r="O825" s="28"/>
    </row>
    <row r="826" ht="15.75" customHeight="1">
      <c r="O826" s="28"/>
    </row>
    <row r="827" ht="15.75" customHeight="1">
      <c r="O827" s="28"/>
    </row>
    <row r="828" ht="15.75" customHeight="1">
      <c r="O828" s="28"/>
    </row>
    <row r="829" ht="15.75" customHeight="1">
      <c r="O829" s="28"/>
    </row>
    <row r="830" ht="15.75" customHeight="1">
      <c r="O830" s="28"/>
    </row>
    <row r="831" ht="15.75" customHeight="1">
      <c r="O831" s="28"/>
    </row>
    <row r="832" ht="15.75" customHeight="1">
      <c r="O832" s="28"/>
    </row>
    <row r="833" ht="15.75" customHeight="1">
      <c r="O833" s="28"/>
    </row>
    <row r="834" ht="15.75" customHeight="1">
      <c r="O834" s="28"/>
    </row>
    <row r="835" ht="15.75" customHeight="1">
      <c r="O835" s="28"/>
    </row>
    <row r="836" ht="15.75" customHeight="1">
      <c r="O836" s="28"/>
    </row>
    <row r="837" ht="15.75" customHeight="1">
      <c r="O837" s="28"/>
    </row>
    <row r="838" ht="15.75" customHeight="1">
      <c r="O838" s="28"/>
    </row>
    <row r="839" ht="15.75" customHeight="1">
      <c r="O839" s="28"/>
    </row>
    <row r="840" ht="15.75" customHeight="1">
      <c r="O840" s="28"/>
    </row>
    <row r="841" ht="15.75" customHeight="1">
      <c r="O841" s="28"/>
    </row>
    <row r="842" ht="15.75" customHeight="1">
      <c r="O842" s="28"/>
    </row>
    <row r="843" ht="15.75" customHeight="1">
      <c r="O843" s="28"/>
    </row>
    <row r="844" ht="15.75" customHeight="1">
      <c r="O844" s="28"/>
    </row>
    <row r="845" ht="15.75" customHeight="1">
      <c r="O845" s="28"/>
    </row>
    <row r="846" ht="15.75" customHeight="1">
      <c r="O846" s="28"/>
    </row>
    <row r="847" ht="15.75" customHeight="1">
      <c r="O847" s="28"/>
    </row>
    <row r="848" ht="15.75" customHeight="1">
      <c r="O848" s="28"/>
    </row>
    <row r="849" ht="15.75" customHeight="1">
      <c r="O849" s="28"/>
    </row>
    <row r="850" ht="15.75" customHeight="1">
      <c r="O850" s="28"/>
    </row>
    <row r="851" ht="15.75" customHeight="1">
      <c r="O851" s="28"/>
    </row>
    <row r="852" ht="15.75" customHeight="1">
      <c r="O852" s="28"/>
    </row>
    <row r="853" ht="15.75" customHeight="1">
      <c r="O853" s="28"/>
    </row>
    <row r="854" ht="15.75" customHeight="1">
      <c r="O854" s="28"/>
    </row>
    <row r="855" ht="15.75" customHeight="1">
      <c r="O855" s="28"/>
    </row>
    <row r="856" ht="15.75" customHeight="1">
      <c r="O856" s="28"/>
    </row>
    <row r="857" ht="15.75" customHeight="1">
      <c r="O857" s="28"/>
    </row>
    <row r="858" ht="15.75" customHeight="1">
      <c r="O858" s="28"/>
    </row>
    <row r="859" ht="15.75" customHeight="1">
      <c r="O859" s="28"/>
    </row>
    <row r="860" ht="15.75" customHeight="1">
      <c r="O860" s="28"/>
    </row>
    <row r="861" ht="15.75" customHeight="1">
      <c r="O861" s="28"/>
    </row>
    <row r="862" ht="15.75" customHeight="1">
      <c r="O862" s="28"/>
    </row>
    <row r="863" ht="15.75" customHeight="1">
      <c r="O863" s="28"/>
    </row>
    <row r="864" ht="15.75" customHeight="1">
      <c r="O864" s="28"/>
    </row>
    <row r="865" ht="15.75" customHeight="1">
      <c r="O865" s="28"/>
    </row>
    <row r="866" ht="15.75" customHeight="1">
      <c r="O866" s="28"/>
    </row>
    <row r="867" ht="15.75" customHeight="1">
      <c r="O867" s="28"/>
    </row>
    <row r="868" ht="15.75" customHeight="1">
      <c r="O868" s="28"/>
    </row>
    <row r="869" ht="15.75" customHeight="1">
      <c r="O869" s="28"/>
    </row>
    <row r="870" ht="15.75" customHeight="1">
      <c r="O870" s="28"/>
    </row>
    <row r="871" ht="15.75" customHeight="1">
      <c r="O871" s="28"/>
    </row>
    <row r="872" ht="15.75" customHeight="1">
      <c r="O872" s="28"/>
    </row>
    <row r="873" ht="15.75" customHeight="1">
      <c r="O873" s="28"/>
    </row>
    <row r="874" ht="15.75" customHeight="1">
      <c r="O874" s="28"/>
    </row>
    <row r="875" ht="15.75" customHeight="1">
      <c r="O875" s="28"/>
    </row>
    <row r="876" ht="15.75" customHeight="1">
      <c r="O876" s="28"/>
    </row>
    <row r="877" ht="15.75" customHeight="1">
      <c r="O877" s="28"/>
    </row>
    <row r="878" ht="15.75" customHeight="1">
      <c r="O878" s="28"/>
    </row>
    <row r="879" ht="15.75" customHeight="1">
      <c r="O879" s="28"/>
    </row>
    <row r="880" ht="15.75" customHeight="1">
      <c r="O880" s="28"/>
    </row>
    <row r="881" ht="15.75" customHeight="1">
      <c r="O881" s="28"/>
    </row>
    <row r="882" ht="15.75" customHeight="1">
      <c r="O882" s="28"/>
    </row>
    <row r="883" ht="15.75" customHeight="1">
      <c r="O883" s="28"/>
    </row>
    <row r="884" ht="15.75" customHeight="1">
      <c r="O884" s="28"/>
    </row>
    <row r="885" ht="15.75" customHeight="1">
      <c r="O885" s="28"/>
    </row>
    <row r="886" ht="15.75" customHeight="1">
      <c r="O886" s="28"/>
    </row>
    <row r="887" ht="15.75" customHeight="1">
      <c r="O887" s="28"/>
    </row>
    <row r="888" ht="15.75" customHeight="1">
      <c r="O888" s="28"/>
    </row>
    <row r="889" ht="15.75" customHeight="1">
      <c r="O889" s="28"/>
    </row>
    <row r="890" ht="15.75" customHeight="1">
      <c r="O890" s="28"/>
    </row>
    <row r="891" ht="15.75" customHeight="1">
      <c r="O891" s="28"/>
    </row>
    <row r="892" ht="15.75" customHeight="1">
      <c r="O892" s="28"/>
    </row>
    <row r="893" ht="15.75" customHeight="1">
      <c r="O893" s="28"/>
    </row>
    <row r="894" ht="15.75" customHeight="1">
      <c r="O894" s="28"/>
    </row>
    <row r="895" ht="15.75" customHeight="1">
      <c r="O895" s="28"/>
    </row>
    <row r="896" ht="15.75" customHeight="1">
      <c r="O896" s="28"/>
    </row>
    <row r="897" ht="15.75" customHeight="1">
      <c r="O897" s="28"/>
    </row>
    <row r="898" ht="15.75" customHeight="1">
      <c r="O898" s="28"/>
    </row>
    <row r="899" ht="15.75" customHeight="1">
      <c r="O899" s="28"/>
    </row>
    <row r="900" ht="15.75" customHeight="1">
      <c r="O900" s="28"/>
    </row>
    <row r="901" ht="15.75" customHeight="1">
      <c r="O901" s="28"/>
    </row>
    <row r="902" ht="15.75" customHeight="1">
      <c r="O902" s="28"/>
    </row>
    <row r="903" ht="15.75" customHeight="1">
      <c r="O903" s="28"/>
    </row>
    <row r="904" ht="15.75" customHeight="1">
      <c r="O904" s="28"/>
    </row>
    <row r="905" ht="15.75" customHeight="1">
      <c r="O905" s="28"/>
    </row>
    <row r="906" ht="15.75" customHeight="1">
      <c r="O906" s="28"/>
    </row>
    <row r="907" ht="15.75" customHeight="1">
      <c r="O907" s="28"/>
    </row>
    <row r="908" ht="15.75" customHeight="1">
      <c r="O908" s="28"/>
    </row>
    <row r="909" ht="15.75" customHeight="1">
      <c r="O909" s="28"/>
    </row>
    <row r="910" ht="15.75" customHeight="1">
      <c r="O910" s="28"/>
    </row>
    <row r="911" ht="15.75" customHeight="1">
      <c r="O911" s="28"/>
    </row>
    <row r="912" ht="15.75" customHeight="1">
      <c r="O912" s="28"/>
    </row>
    <row r="913" ht="15.75" customHeight="1">
      <c r="O913" s="28"/>
    </row>
    <row r="914" ht="15.75" customHeight="1">
      <c r="O914" s="28"/>
    </row>
    <row r="915" ht="15.75" customHeight="1">
      <c r="O915" s="28"/>
    </row>
    <row r="916" ht="15.75" customHeight="1">
      <c r="O916" s="28"/>
    </row>
    <row r="917" ht="15.75" customHeight="1">
      <c r="O917" s="28"/>
    </row>
    <row r="918" ht="15.75" customHeight="1">
      <c r="O918" s="28"/>
    </row>
    <row r="919" ht="15.75" customHeight="1">
      <c r="O919" s="28"/>
    </row>
    <row r="920" ht="15.75" customHeight="1">
      <c r="O920" s="28"/>
    </row>
    <row r="921" ht="15.75" customHeight="1">
      <c r="O921" s="28"/>
    </row>
    <row r="922" ht="15.75" customHeight="1">
      <c r="O922" s="28"/>
    </row>
    <row r="923" ht="15.75" customHeight="1">
      <c r="O923" s="28"/>
    </row>
    <row r="924" ht="15.75" customHeight="1">
      <c r="O924" s="28"/>
    </row>
    <row r="925" ht="15.75" customHeight="1">
      <c r="O925" s="28"/>
    </row>
    <row r="926" ht="15.75" customHeight="1">
      <c r="O926" s="28"/>
    </row>
    <row r="927" ht="15.75" customHeight="1">
      <c r="O927" s="28"/>
    </row>
    <row r="928" ht="15.75" customHeight="1">
      <c r="O928" s="28"/>
    </row>
    <row r="929" ht="15.75" customHeight="1">
      <c r="O929" s="28"/>
    </row>
    <row r="930" ht="15.75" customHeight="1">
      <c r="O930" s="28"/>
    </row>
    <row r="931" ht="15.75" customHeight="1">
      <c r="O931" s="28"/>
    </row>
    <row r="932" ht="15.75" customHeight="1">
      <c r="O932" s="28"/>
    </row>
    <row r="933" ht="15.75" customHeight="1">
      <c r="O933" s="28"/>
    </row>
    <row r="934" ht="15.75" customHeight="1">
      <c r="O934" s="28"/>
    </row>
    <row r="935" ht="15.75" customHeight="1">
      <c r="O935" s="28"/>
    </row>
    <row r="936" ht="15.75" customHeight="1">
      <c r="O936" s="28"/>
    </row>
    <row r="937" ht="15.75" customHeight="1">
      <c r="O937" s="28"/>
    </row>
    <row r="938" ht="15.75" customHeight="1">
      <c r="O938" s="28"/>
    </row>
    <row r="939" ht="15.75" customHeight="1">
      <c r="O939" s="28"/>
    </row>
    <row r="940" ht="15.75" customHeight="1">
      <c r="O940" s="28"/>
    </row>
    <row r="941" ht="15.75" customHeight="1">
      <c r="O941" s="28"/>
    </row>
    <row r="942" ht="15.75" customHeight="1">
      <c r="O942" s="28"/>
    </row>
    <row r="943" ht="15.75" customHeight="1">
      <c r="O943" s="28"/>
    </row>
    <row r="944" ht="15.75" customHeight="1">
      <c r="O944" s="28"/>
    </row>
    <row r="945" ht="15.75" customHeight="1">
      <c r="O945" s="28"/>
    </row>
    <row r="946" ht="15.75" customHeight="1">
      <c r="O946" s="28"/>
    </row>
    <row r="947" ht="15.75" customHeight="1">
      <c r="O947" s="28"/>
    </row>
    <row r="948" ht="15.75" customHeight="1">
      <c r="O948" s="28"/>
    </row>
    <row r="949" ht="15.75" customHeight="1">
      <c r="O949" s="28"/>
    </row>
    <row r="950" ht="15.75" customHeight="1">
      <c r="O950" s="28"/>
    </row>
    <row r="951" ht="15.75" customHeight="1">
      <c r="O951" s="28"/>
    </row>
    <row r="952" ht="15.75" customHeight="1">
      <c r="O952" s="28"/>
    </row>
    <row r="953" ht="15.75" customHeight="1">
      <c r="O953" s="28"/>
    </row>
    <row r="954" ht="15.75" customHeight="1">
      <c r="O954" s="28"/>
    </row>
    <row r="955" ht="15.75" customHeight="1">
      <c r="O955" s="28"/>
    </row>
    <row r="956" ht="15.75" customHeight="1">
      <c r="O956" s="28"/>
    </row>
    <row r="957" ht="15.75" customHeight="1">
      <c r="O957" s="28"/>
    </row>
    <row r="958" ht="15.75" customHeight="1">
      <c r="O958" s="28"/>
    </row>
    <row r="959" ht="15.75" customHeight="1">
      <c r="O959" s="28"/>
    </row>
    <row r="960" ht="15.75" customHeight="1">
      <c r="O960" s="28"/>
    </row>
    <row r="961" ht="15.75" customHeight="1">
      <c r="O961" s="28"/>
    </row>
    <row r="962" ht="15.75" customHeight="1">
      <c r="O962" s="28"/>
    </row>
    <row r="963" ht="15.75" customHeight="1">
      <c r="O963" s="28"/>
    </row>
    <row r="964" ht="15.75" customHeight="1">
      <c r="O964" s="28"/>
    </row>
    <row r="965" ht="15.75" customHeight="1">
      <c r="O965" s="28"/>
    </row>
    <row r="966" ht="15.75" customHeight="1">
      <c r="O966" s="28"/>
    </row>
    <row r="967" ht="15.75" customHeight="1">
      <c r="O967" s="28"/>
    </row>
    <row r="968" ht="15.75" customHeight="1">
      <c r="O968" s="28"/>
    </row>
    <row r="969" ht="15.75" customHeight="1">
      <c r="O969" s="28"/>
    </row>
    <row r="970" ht="15.75" customHeight="1">
      <c r="O970" s="28"/>
    </row>
    <row r="971" ht="15.75" customHeight="1">
      <c r="O971" s="28"/>
    </row>
    <row r="972" ht="15.75" customHeight="1">
      <c r="O972" s="28"/>
    </row>
    <row r="973" ht="15.75" customHeight="1">
      <c r="O973" s="28"/>
    </row>
    <row r="974" ht="15.75" customHeight="1">
      <c r="O974" s="28"/>
    </row>
    <row r="975" ht="15.75" customHeight="1">
      <c r="O975" s="28"/>
    </row>
    <row r="976" ht="15.75" customHeight="1">
      <c r="O976" s="28"/>
    </row>
    <row r="977" ht="15.75" customHeight="1">
      <c r="O977" s="28"/>
    </row>
    <row r="978" ht="15.75" customHeight="1">
      <c r="O978" s="28"/>
    </row>
    <row r="979" ht="15.75" customHeight="1">
      <c r="O979" s="28"/>
    </row>
    <row r="980" ht="15.75" customHeight="1">
      <c r="O980" s="28"/>
    </row>
    <row r="981" ht="15.75" customHeight="1">
      <c r="O981" s="28"/>
    </row>
    <row r="982" ht="15.75" customHeight="1">
      <c r="O982" s="28"/>
    </row>
    <row r="983" ht="15.75" customHeight="1">
      <c r="O983" s="28"/>
    </row>
    <row r="984" ht="15.75" customHeight="1">
      <c r="O984" s="28"/>
    </row>
    <row r="985" ht="15.75" customHeight="1">
      <c r="O985" s="28"/>
    </row>
    <row r="986" ht="15.75" customHeight="1">
      <c r="O986" s="28"/>
    </row>
    <row r="987" ht="15.75" customHeight="1">
      <c r="O987" s="28"/>
    </row>
    <row r="988" ht="15.75" customHeight="1">
      <c r="O988" s="28"/>
    </row>
    <row r="989" ht="15.75" customHeight="1">
      <c r="O989" s="28"/>
    </row>
    <row r="990" ht="15.75" customHeight="1">
      <c r="O990" s="28"/>
    </row>
    <row r="991" ht="15.75" customHeight="1">
      <c r="O991" s="28"/>
    </row>
    <row r="992" ht="15.75" customHeight="1">
      <c r="O992" s="28"/>
    </row>
    <row r="993" ht="15.75" customHeight="1">
      <c r="O993" s="28"/>
    </row>
    <row r="994" ht="15.75" customHeight="1">
      <c r="O994" s="28"/>
    </row>
    <row r="995" ht="15.75" customHeight="1">
      <c r="O995" s="28"/>
    </row>
    <row r="996" ht="15.75" customHeight="1">
      <c r="O996" s="28"/>
    </row>
    <row r="997" ht="15.75" customHeight="1">
      <c r="O997" s="28"/>
    </row>
    <row r="998" ht="15.75" customHeight="1">
      <c r="O998" s="28"/>
    </row>
    <row r="999" ht="15.75" customHeight="1">
      <c r="O999" s="28"/>
    </row>
    <row r="1000" ht="15.75" customHeight="1">
      <c r="O1000" s="28"/>
    </row>
  </sheetData>
  <mergeCells count="7">
    <mergeCell ref="A1:K1"/>
    <mergeCell ref="M3:N3"/>
    <mergeCell ref="P3:Q3"/>
    <mergeCell ref="S3:T3"/>
    <mergeCell ref="A5:C5"/>
    <mergeCell ref="E5:G5"/>
    <mergeCell ref="I5:K5"/>
  </mergeCells>
  <dataValidations>
    <dataValidation type="list" allowBlank="1" sqref="C7:C300">
      <formula1>Categorias!$A$2:$A$200</formula1>
    </dataValidation>
    <dataValidation type="list" allowBlank="1" sqref="K7:K300">
      <formula1>Categorias!$C$2:$C$200</formula1>
    </dataValidation>
    <dataValidation type="list" allowBlank="1" sqref="G7:G300">
      <formula1>Categorias!$B$2:$B$200</formula1>
    </dataValidation>
  </dataValidations>
  <printOptions/>
  <pageMargins bottom="0.75" footer="0.0" header="0.0" left="0.7" right="0.7" top="0.75"/>
  <pageSetup orientation="landscape"/>
  <drawing r:id="rId1"/>
</worksheet>
</file>